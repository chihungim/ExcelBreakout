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Breakout\"/>
    </mc:Choice>
  </mc:AlternateContent>
  <xr:revisionPtr revIDLastSave="0" documentId="13_ncr:1_{CA33C5C1-3266-4FBC-9A3D-882E32901BC0}" xr6:coauthVersionLast="47" xr6:coauthVersionMax="47" xr10:uidLastSave="{00000000-0000-0000-0000-000000000000}"/>
  <bookViews>
    <workbookView xWindow="-120" yWindow="-120" windowWidth="20730" windowHeight="11040" xr2:uid="{1BB0DD6C-AB6C-4107-BB71-8951FDD15493}"/>
  </bookViews>
  <sheets>
    <sheet name="Game" sheetId="5" r:id="rId1"/>
    <sheet name="data" sheetId="4" r:id="rId2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Game!$N$2</definedName>
    <definedName name="Bally">Game!$O$2</definedName>
    <definedName name="Begin">#REF!</definedName>
    <definedName name="player1Score">Game!$E$5</definedName>
    <definedName name="Player1X">Game!$K$2</definedName>
    <definedName name="Player1Y">Game!$L$2</definedName>
    <definedName name="player2Score">Game!$F$5</definedName>
    <definedName name="Player2Y">Game!#REF!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7" i="5" l="1"/>
  <c r="R357" i="5"/>
  <c r="R358" i="5" s="1"/>
  <c r="Q358" i="5"/>
  <c r="Q359" i="5"/>
  <c r="R359" i="5"/>
  <c r="Q360" i="5"/>
  <c r="R360" i="5"/>
  <c r="Q351" i="5"/>
  <c r="S350" i="5" s="1"/>
  <c r="R351" i="5"/>
  <c r="R352" i="5" s="1"/>
  <c r="Q352" i="5"/>
  <c r="Q353" i="5"/>
  <c r="R353" i="5"/>
  <c r="Q354" i="5"/>
  <c r="R354" i="5"/>
  <c r="Q345" i="5"/>
  <c r="R345" i="5"/>
  <c r="R346" i="5" s="1"/>
  <c r="Q346" i="5"/>
  <c r="Q347" i="5"/>
  <c r="R347" i="5"/>
  <c r="Q348" i="5"/>
  <c r="R348" i="5"/>
  <c r="Q339" i="5"/>
  <c r="R339" i="5"/>
  <c r="R340" i="5" s="1"/>
  <c r="Q340" i="5"/>
  <c r="Q341" i="5"/>
  <c r="R341" i="5"/>
  <c r="Q342" i="5"/>
  <c r="R342" i="5"/>
  <c r="Q333" i="5"/>
  <c r="R333" i="5"/>
  <c r="R334" i="5" s="1"/>
  <c r="Q334" i="5"/>
  <c r="Q335" i="5"/>
  <c r="R335" i="5"/>
  <c r="Q336" i="5"/>
  <c r="R336" i="5"/>
  <c r="Q327" i="5"/>
  <c r="R327" i="5"/>
  <c r="R328" i="5" s="1"/>
  <c r="Q328" i="5"/>
  <c r="Q329" i="5"/>
  <c r="R329" i="5"/>
  <c r="Q330" i="5"/>
  <c r="R330" i="5"/>
  <c r="Q321" i="5"/>
  <c r="R321" i="5"/>
  <c r="Q322" i="5"/>
  <c r="S320" i="5" s="1"/>
  <c r="R322" i="5"/>
  <c r="Q323" i="5"/>
  <c r="R323" i="5"/>
  <c r="Q324" i="5"/>
  <c r="R324" i="5"/>
  <c r="Q315" i="5"/>
  <c r="R315" i="5"/>
  <c r="R316" i="5" s="1"/>
  <c r="Q316" i="5"/>
  <c r="Q317" i="5"/>
  <c r="R317" i="5"/>
  <c r="Q318" i="5"/>
  <c r="R318" i="5"/>
  <c r="Q309" i="5"/>
  <c r="R309" i="5"/>
  <c r="R310" i="5" s="1"/>
  <c r="Q310" i="5"/>
  <c r="Q311" i="5"/>
  <c r="R311" i="5"/>
  <c r="Q312" i="5"/>
  <c r="R312" i="5"/>
  <c r="Q303" i="5"/>
  <c r="R303" i="5"/>
  <c r="R304" i="5" s="1"/>
  <c r="Q304" i="5"/>
  <c r="Q305" i="5"/>
  <c r="R305" i="5"/>
  <c r="Q306" i="5"/>
  <c r="R306" i="5"/>
  <c r="Q297" i="5"/>
  <c r="R297" i="5"/>
  <c r="R298" i="5" s="1"/>
  <c r="Q298" i="5"/>
  <c r="Q299" i="5"/>
  <c r="R299" i="5"/>
  <c r="Q300" i="5"/>
  <c r="R300" i="5"/>
  <c r="Q291" i="5"/>
  <c r="R291" i="5"/>
  <c r="R292" i="5" s="1"/>
  <c r="Q292" i="5"/>
  <c r="Q293" i="5"/>
  <c r="R293" i="5"/>
  <c r="Q294" i="5"/>
  <c r="R294" i="5"/>
  <c r="Q285" i="5"/>
  <c r="R285" i="5"/>
  <c r="R286" i="5" s="1"/>
  <c r="Q286" i="5"/>
  <c r="Q287" i="5"/>
  <c r="R287" i="5"/>
  <c r="Q288" i="5"/>
  <c r="R288" i="5"/>
  <c r="Q279" i="5"/>
  <c r="R279" i="5"/>
  <c r="R280" i="5" s="1"/>
  <c r="Q280" i="5"/>
  <c r="Q281" i="5"/>
  <c r="R281" i="5"/>
  <c r="Q282" i="5"/>
  <c r="R282" i="5"/>
  <c r="Q273" i="5"/>
  <c r="R273" i="5"/>
  <c r="R274" i="5" s="1"/>
  <c r="Q274" i="5"/>
  <c r="Q275" i="5"/>
  <c r="R275" i="5"/>
  <c r="Q276" i="5"/>
  <c r="R276" i="5"/>
  <c r="Q267" i="5"/>
  <c r="R267" i="5"/>
  <c r="R268" i="5" s="1"/>
  <c r="Q268" i="5"/>
  <c r="Q269" i="5"/>
  <c r="R269" i="5"/>
  <c r="Q270" i="5"/>
  <c r="R270" i="5"/>
  <c r="Q261" i="5"/>
  <c r="R261" i="5"/>
  <c r="R262" i="5" s="1"/>
  <c r="Q262" i="5"/>
  <c r="Q263" i="5"/>
  <c r="R263" i="5"/>
  <c r="Q264" i="5"/>
  <c r="R264" i="5"/>
  <c r="Q255" i="5"/>
  <c r="R255" i="5"/>
  <c r="R256" i="5" s="1"/>
  <c r="Q256" i="5"/>
  <c r="Q257" i="5"/>
  <c r="R257" i="5"/>
  <c r="Q258" i="5"/>
  <c r="R258" i="5"/>
  <c r="Q249" i="5"/>
  <c r="R249" i="5"/>
  <c r="R250" i="5" s="1"/>
  <c r="Q250" i="5"/>
  <c r="Q251" i="5"/>
  <c r="R251" i="5"/>
  <c r="Q252" i="5"/>
  <c r="R252" i="5"/>
  <c r="Q243" i="5"/>
  <c r="R243" i="5"/>
  <c r="R244" i="5" s="1"/>
  <c r="Q244" i="5"/>
  <c r="Q245" i="5"/>
  <c r="R245" i="5"/>
  <c r="Q246" i="5"/>
  <c r="R246" i="5"/>
  <c r="Q237" i="5"/>
  <c r="R237" i="5"/>
  <c r="R238" i="5" s="1"/>
  <c r="Q238" i="5"/>
  <c r="Q239" i="5"/>
  <c r="R239" i="5"/>
  <c r="Q240" i="5"/>
  <c r="R240" i="5"/>
  <c r="Q231" i="5"/>
  <c r="R231" i="5"/>
  <c r="R232" i="5" s="1"/>
  <c r="Q232" i="5"/>
  <c r="Q233" i="5"/>
  <c r="R233" i="5"/>
  <c r="Q234" i="5"/>
  <c r="R234" i="5"/>
  <c r="S224" i="5"/>
  <c r="Q225" i="5"/>
  <c r="R225" i="5"/>
  <c r="Q226" i="5"/>
  <c r="R226" i="5"/>
  <c r="Q227" i="5"/>
  <c r="R227" i="5"/>
  <c r="Q228" i="5"/>
  <c r="R228" i="5"/>
  <c r="Q219" i="5"/>
  <c r="S218" i="5" s="1"/>
  <c r="R219" i="5"/>
  <c r="R220" i="5" s="1"/>
  <c r="Q220" i="5"/>
  <c r="Q221" i="5"/>
  <c r="R221" i="5"/>
  <c r="Q222" i="5"/>
  <c r="R222" i="5"/>
  <c r="Q213" i="5"/>
  <c r="R213" i="5"/>
  <c r="R214" i="5" s="1"/>
  <c r="Q214" i="5"/>
  <c r="Q215" i="5"/>
  <c r="R215" i="5"/>
  <c r="Q216" i="5"/>
  <c r="R216" i="5"/>
  <c r="Q207" i="5"/>
  <c r="R207" i="5"/>
  <c r="R208" i="5" s="1"/>
  <c r="Q208" i="5"/>
  <c r="Q209" i="5"/>
  <c r="R209" i="5"/>
  <c r="Q210" i="5"/>
  <c r="R210" i="5"/>
  <c r="Q201" i="5"/>
  <c r="R201" i="5"/>
  <c r="R202" i="5" s="1"/>
  <c r="Q202" i="5"/>
  <c r="Q203" i="5"/>
  <c r="R203" i="5"/>
  <c r="Q204" i="5"/>
  <c r="R204" i="5"/>
  <c r="Q195" i="5"/>
  <c r="R195" i="5"/>
  <c r="R196" i="5" s="1"/>
  <c r="Q196" i="5"/>
  <c r="Q197" i="5"/>
  <c r="R197" i="5"/>
  <c r="Q198" i="5"/>
  <c r="R198" i="5"/>
  <c r="Q189" i="5"/>
  <c r="R189" i="5"/>
  <c r="R190" i="5" s="1"/>
  <c r="Q190" i="5"/>
  <c r="Q191" i="5"/>
  <c r="R191" i="5"/>
  <c r="Q192" i="5"/>
  <c r="R192" i="5"/>
  <c r="Q183" i="5"/>
  <c r="R183" i="5"/>
  <c r="R184" i="5" s="1"/>
  <c r="Q184" i="5"/>
  <c r="Q185" i="5"/>
  <c r="R185" i="5"/>
  <c r="Q186" i="5"/>
  <c r="R186" i="5"/>
  <c r="Q177" i="5"/>
  <c r="R177" i="5"/>
  <c r="Q178" i="5"/>
  <c r="S176" i="5" s="1"/>
  <c r="R178" i="5"/>
  <c r="Q179" i="5"/>
  <c r="R179" i="5"/>
  <c r="Q180" i="5"/>
  <c r="R180" i="5"/>
  <c r="Q171" i="5"/>
  <c r="S170" i="5" s="1"/>
  <c r="R171" i="5"/>
  <c r="R172" i="5" s="1"/>
  <c r="Q172" i="5"/>
  <c r="Q173" i="5"/>
  <c r="R173" i="5"/>
  <c r="Q174" i="5"/>
  <c r="R174" i="5"/>
  <c r="Q165" i="5"/>
  <c r="S164" i="5" s="1"/>
  <c r="R165" i="5"/>
  <c r="R166" i="5" s="1"/>
  <c r="Q166" i="5"/>
  <c r="Q167" i="5"/>
  <c r="R167" i="5"/>
  <c r="Q168" i="5"/>
  <c r="R168" i="5"/>
  <c r="Q159" i="5"/>
  <c r="R159" i="5"/>
  <c r="R160" i="5" s="1"/>
  <c r="Q160" i="5"/>
  <c r="Q161" i="5"/>
  <c r="R161" i="5"/>
  <c r="Q162" i="5"/>
  <c r="R162" i="5"/>
  <c r="Q153" i="5"/>
  <c r="R153" i="5"/>
  <c r="R154" i="5" s="1"/>
  <c r="Q154" i="5"/>
  <c r="Q155" i="5"/>
  <c r="R155" i="5"/>
  <c r="Q156" i="5"/>
  <c r="R156" i="5"/>
  <c r="Q147" i="5"/>
  <c r="R147" i="5"/>
  <c r="R148" i="5" s="1"/>
  <c r="Q148" i="5"/>
  <c r="Q149" i="5"/>
  <c r="R149" i="5"/>
  <c r="Q150" i="5"/>
  <c r="R150" i="5"/>
  <c r="Q141" i="5"/>
  <c r="R141" i="5"/>
  <c r="R142" i="5" s="1"/>
  <c r="Q142" i="5"/>
  <c r="Q143" i="5"/>
  <c r="R143" i="5"/>
  <c r="Q144" i="5"/>
  <c r="R144" i="5"/>
  <c r="Q135" i="5"/>
  <c r="R135" i="5"/>
  <c r="R136" i="5" s="1"/>
  <c r="Q136" i="5"/>
  <c r="Q137" i="5"/>
  <c r="R137" i="5"/>
  <c r="Q138" i="5"/>
  <c r="R138" i="5"/>
  <c r="Q129" i="5"/>
  <c r="R129" i="5"/>
  <c r="R130" i="5" s="1"/>
  <c r="Q130" i="5"/>
  <c r="Q131" i="5"/>
  <c r="R131" i="5"/>
  <c r="Q132" i="5"/>
  <c r="R132" i="5"/>
  <c r="Q123" i="5"/>
  <c r="R123" i="5"/>
  <c r="R124" i="5" s="1"/>
  <c r="Q124" i="5"/>
  <c r="Q125" i="5"/>
  <c r="R125" i="5"/>
  <c r="Q126" i="5"/>
  <c r="R126" i="5"/>
  <c r="Q117" i="5"/>
  <c r="R117" i="5"/>
  <c r="R118" i="5" s="1"/>
  <c r="Q118" i="5"/>
  <c r="Q119" i="5"/>
  <c r="R119" i="5"/>
  <c r="Q120" i="5"/>
  <c r="R120" i="5"/>
  <c r="Q111" i="5"/>
  <c r="R111" i="5"/>
  <c r="R112" i="5" s="1"/>
  <c r="Q112" i="5"/>
  <c r="Q113" i="5"/>
  <c r="R113" i="5"/>
  <c r="Q114" i="5"/>
  <c r="R114" i="5"/>
  <c r="Q105" i="5"/>
  <c r="R105" i="5"/>
  <c r="R106" i="5" s="1"/>
  <c r="Q106" i="5"/>
  <c r="Q107" i="5"/>
  <c r="R107" i="5"/>
  <c r="Q108" i="5"/>
  <c r="R108" i="5"/>
  <c r="Q99" i="5"/>
  <c r="R99" i="5"/>
  <c r="R100" i="5" s="1"/>
  <c r="Q100" i="5"/>
  <c r="Q101" i="5"/>
  <c r="R101" i="5"/>
  <c r="Q102" i="5"/>
  <c r="R102" i="5"/>
  <c r="Q93" i="5"/>
  <c r="R93" i="5"/>
  <c r="R94" i="5" s="1"/>
  <c r="Q94" i="5"/>
  <c r="Q95" i="5"/>
  <c r="R95" i="5"/>
  <c r="Q96" i="5"/>
  <c r="R96" i="5"/>
  <c r="Q87" i="5"/>
  <c r="R87" i="5"/>
  <c r="R88" i="5" s="1"/>
  <c r="Q88" i="5"/>
  <c r="Q89" i="5"/>
  <c r="R89" i="5"/>
  <c r="Q90" i="5"/>
  <c r="R90" i="5"/>
  <c r="Q81" i="5"/>
  <c r="R81" i="5"/>
  <c r="R82" i="5" s="1"/>
  <c r="Q82" i="5"/>
  <c r="Q83" i="5"/>
  <c r="R83" i="5"/>
  <c r="Q84" i="5"/>
  <c r="R84" i="5"/>
  <c r="Q75" i="5"/>
  <c r="R75" i="5"/>
  <c r="R76" i="5" s="1"/>
  <c r="Q76" i="5"/>
  <c r="Q77" i="5"/>
  <c r="R77" i="5"/>
  <c r="Q78" i="5"/>
  <c r="R78" i="5"/>
  <c r="Q69" i="5"/>
  <c r="R69" i="5"/>
  <c r="R70" i="5" s="1"/>
  <c r="Q70" i="5"/>
  <c r="Q71" i="5"/>
  <c r="R71" i="5"/>
  <c r="Q72" i="5"/>
  <c r="R72" i="5"/>
  <c r="Q63" i="5"/>
  <c r="R63" i="5"/>
  <c r="R64" i="5" s="1"/>
  <c r="Q64" i="5"/>
  <c r="Q65" i="5"/>
  <c r="R65" i="5"/>
  <c r="Q66" i="5"/>
  <c r="R66" i="5"/>
  <c r="Q57" i="5"/>
  <c r="R57" i="5"/>
  <c r="R58" i="5" s="1"/>
  <c r="Q58" i="5"/>
  <c r="Q59" i="5"/>
  <c r="R59" i="5"/>
  <c r="Q60" i="5"/>
  <c r="R60" i="5"/>
  <c r="Q51" i="5"/>
  <c r="R51" i="5"/>
  <c r="R52" i="5" s="1"/>
  <c r="Q52" i="5"/>
  <c r="Q53" i="5"/>
  <c r="R53" i="5"/>
  <c r="Q54" i="5"/>
  <c r="R54" i="5"/>
  <c r="Q45" i="5"/>
  <c r="R45" i="5"/>
  <c r="R46" i="5" s="1"/>
  <c r="Q46" i="5"/>
  <c r="Q47" i="5"/>
  <c r="R47" i="5"/>
  <c r="Q48" i="5"/>
  <c r="R48" i="5"/>
  <c r="Q39" i="5"/>
  <c r="R39" i="5"/>
  <c r="R40" i="5" s="1"/>
  <c r="Q40" i="5"/>
  <c r="Q41" i="5"/>
  <c r="R41" i="5"/>
  <c r="Q42" i="5"/>
  <c r="R42" i="5"/>
  <c r="Q33" i="5"/>
  <c r="R33" i="5"/>
  <c r="R34" i="5" s="1"/>
  <c r="Q34" i="5"/>
  <c r="Q35" i="5"/>
  <c r="R35" i="5"/>
  <c r="Q36" i="5"/>
  <c r="R36" i="5"/>
  <c r="Q27" i="5"/>
  <c r="R27" i="5"/>
  <c r="R28" i="5" s="1"/>
  <c r="Q28" i="5"/>
  <c r="Q29" i="5"/>
  <c r="R29" i="5"/>
  <c r="Q30" i="5"/>
  <c r="R30" i="5"/>
  <c r="Q21" i="5"/>
  <c r="R21" i="5"/>
  <c r="R22" i="5" s="1"/>
  <c r="Q22" i="5"/>
  <c r="Q23" i="5"/>
  <c r="R23" i="5"/>
  <c r="Q24" i="5"/>
  <c r="R24" i="5"/>
  <c r="Q15" i="5"/>
  <c r="R15" i="5"/>
  <c r="R16" i="5" s="1"/>
  <c r="Q16" i="5"/>
  <c r="Q17" i="5"/>
  <c r="R17" i="5"/>
  <c r="Q18" i="5"/>
  <c r="R18" i="5"/>
  <c r="Q9" i="5"/>
  <c r="R9" i="5"/>
  <c r="R10" i="5" s="1"/>
  <c r="Q10" i="5"/>
  <c r="Q11" i="5"/>
  <c r="R11" i="5"/>
  <c r="Q12" i="5"/>
  <c r="R12" i="5"/>
  <c r="Q3" i="5"/>
  <c r="S2" i="5" s="1"/>
  <c r="R3" i="5"/>
  <c r="R4" i="5" s="1"/>
  <c r="Q4" i="5"/>
  <c r="Q5" i="5"/>
  <c r="R5" i="5"/>
  <c r="Q6" i="5"/>
  <c r="R6" i="5"/>
  <c r="K3" i="5"/>
  <c r="L3" i="5"/>
  <c r="L4" i="5" s="1"/>
  <c r="K4" i="5"/>
  <c r="K5" i="5"/>
  <c r="L5" i="5"/>
  <c r="K6" i="5"/>
  <c r="L6" i="5"/>
  <c r="V6" i="5"/>
  <c r="U6" i="5"/>
  <c r="V5" i="5"/>
  <c r="U5" i="5"/>
  <c r="U4" i="5"/>
  <c r="V3" i="5"/>
  <c r="V4" i="5" s="1"/>
  <c r="U3" i="5"/>
  <c r="S356" i="5" l="1"/>
  <c r="S344" i="5"/>
  <c r="S338" i="5"/>
  <c r="S332" i="5"/>
  <c r="S326" i="5"/>
  <c r="S314" i="5"/>
  <c r="S308" i="5"/>
  <c r="S302" i="5"/>
  <c r="S296" i="5"/>
  <c r="S290" i="5"/>
  <c r="S284" i="5"/>
  <c r="S278" i="5"/>
  <c r="S272" i="5"/>
  <c r="S266" i="5"/>
  <c r="S260" i="5"/>
  <c r="S254" i="5"/>
  <c r="S248" i="5"/>
  <c r="S242" i="5"/>
  <c r="S236" i="5"/>
  <c r="S230" i="5"/>
  <c r="S212" i="5"/>
  <c r="S206" i="5"/>
  <c r="S200" i="5"/>
  <c r="S194" i="5"/>
  <c r="S188" i="5"/>
  <c r="S182" i="5"/>
  <c r="S158" i="5"/>
  <c r="S152" i="5"/>
  <c r="S146" i="5"/>
  <c r="S140" i="5"/>
  <c r="S134" i="5"/>
  <c r="S128" i="5"/>
  <c r="S122" i="5"/>
  <c r="S116" i="5"/>
  <c r="S110" i="5"/>
  <c r="S104" i="5"/>
  <c r="S98" i="5"/>
  <c r="S92" i="5"/>
  <c r="S86" i="5"/>
  <c r="S80" i="5"/>
  <c r="S74" i="5"/>
  <c r="S68" i="5"/>
  <c r="S62" i="5"/>
  <c r="S56" i="5"/>
  <c r="S50" i="5"/>
  <c r="S44" i="5"/>
  <c r="S38" i="5"/>
  <c r="S32" i="5"/>
  <c r="S26" i="5"/>
  <c r="S20" i="5"/>
  <c r="S14" i="5"/>
  <c r="S8" i="5"/>
  <c r="W2" i="5"/>
  <c r="P1" i="5" l="1"/>
</calcChain>
</file>

<file path=xl/sharedStrings.xml><?xml version="1.0" encoding="utf-8"?>
<sst xmlns="http://schemas.openxmlformats.org/spreadsheetml/2006/main" count="142" uniqueCount="20">
  <si>
    <t>Bar1</t>
    <phoneticPr fontId="1" type="noConversion"/>
  </si>
  <si>
    <t>Bar2</t>
    <phoneticPr fontId="1" type="noConversion"/>
  </si>
  <si>
    <t>Ball</t>
    <phoneticPr fontId="1" type="noConversion"/>
  </si>
  <si>
    <t>Score</t>
    <phoneticPr fontId="1" type="noConversion"/>
  </si>
  <si>
    <t>x</t>
    <phoneticPr fontId="1" type="noConversion"/>
  </si>
  <si>
    <t>y</t>
    <phoneticPr fontId="1" type="noConversion"/>
  </si>
  <si>
    <t>Y</t>
    <phoneticPr fontId="1" type="noConversion"/>
  </si>
  <si>
    <t>xValues</t>
    <phoneticPr fontId="1" type="noConversion"/>
  </si>
  <si>
    <t>yValues</t>
    <phoneticPr fontId="1" type="noConversion"/>
  </si>
  <si>
    <t>BallDirX</t>
    <phoneticPr fontId="1" type="noConversion"/>
  </si>
  <si>
    <t>BallDirY</t>
    <phoneticPr fontId="1" type="noConversion"/>
  </si>
  <si>
    <t>x length</t>
    <phoneticPr fontId="1" type="noConversion"/>
  </si>
  <si>
    <t>y length</t>
    <phoneticPr fontId="1" type="noConversion"/>
  </si>
  <si>
    <t>paddle</t>
    <phoneticPr fontId="1" type="noConversion"/>
  </si>
  <si>
    <t>block</t>
    <phoneticPr fontId="1" type="noConversion"/>
  </si>
  <si>
    <t>Original</t>
    <phoneticPr fontId="1" type="noConversion"/>
  </si>
  <si>
    <t>X values</t>
  </si>
  <si>
    <t>Y Values</t>
  </si>
  <si>
    <t>X values</t>
    <phoneticPr fontId="1" type="noConversion"/>
  </si>
  <si>
    <t>Y Values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</si>
</sst>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9" xfId="0" applyFont="1" applyFill="1" applyBorder="1">
      <alignment vertical="center"/>
    </xf>
    <xf numFmtId="0" fontId="3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552498357731319E-2"/>
          <c:y val="1.4426776171073345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Ball</c:v>
          </c:tx>
          <c:spPr>
            <a:ln w="76200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00000"/>
              </a:solidFill>
              <a:ln w="76200" cap="rnd">
                <a:solidFill>
                  <a:srgbClr val="C0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8-0C7A-452D-B9F6-64C14F369C0A}"/>
            </c:ext>
          </c:extLst>
        </c:ser>
        <c:ser>
          <c:idx val="1"/>
          <c:order val="1"/>
          <c:tx>
            <c:v>Paddle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10</c:v>
                </c:pt>
                <c:pt idx="3">
                  <c:v>10</c:v>
                </c:pt>
                <c:pt idx="4">
                  <c:v>-10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-40</c:v>
                </c:pt>
                <c:pt idx="1">
                  <c:v>-35</c:v>
                </c:pt>
                <c:pt idx="2">
                  <c:v>-35</c:v>
                </c:pt>
                <c:pt idx="3">
                  <c:v>-40</c:v>
                </c:pt>
                <c:pt idx="4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9-0C7A-452D-B9F6-64C14F369C0A}"/>
            </c:ext>
          </c:extLst>
        </c:ser>
        <c:ser>
          <c:idx val="2"/>
          <c:order val="2"/>
          <c:tx>
            <c:v>Block0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0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solidFill>
                  <a:srgbClr val="FF0000"/>
                </a:solidFill>
                <a:ln w="9525" cap="rnd">
                  <a:solidFill>
                    <a:srgbClr val="FF0000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25B-41F3-8202-18B23FC3D755}"/>
              </c:ext>
            </c:extLst>
          </c:dPt>
          <c:xVal>
            <c:numRef>
              <c:f>Game!$Q$2:$Q$6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Game!$R$2:$R$6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A-0C7A-452D-B9F6-64C14F369C0A}"/>
            </c:ext>
          </c:extLst>
        </c:ser>
        <c:ser>
          <c:idx val="3"/>
          <c:order val="3"/>
          <c:tx>
            <c:v>Block1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Game!$Q$8:$Q$12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Game!$R$8:$R$12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B-0C7A-452D-B9F6-64C14F369C0A}"/>
            </c:ext>
          </c:extLst>
        </c:ser>
        <c:ser>
          <c:idx val="4"/>
          <c:order val="4"/>
          <c:tx>
            <c:v>Block2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Game!$Q$14:$Q$18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Game!$R$14:$R$18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C-0C7A-452D-B9F6-64C14F369C0A}"/>
            </c:ext>
          </c:extLst>
        </c:ser>
        <c:ser>
          <c:idx val="5"/>
          <c:order val="5"/>
          <c:tx>
            <c:v>Block3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Game!$Q$20:$Q$24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Game!$R$20:$R$24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D-0C7A-452D-B9F6-64C14F369C0A}"/>
            </c:ext>
          </c:extLst>
        </c:ser>
        <c:ser>
          <c:idx val="6"/>
          <c:order val="6"/>
          <c:tx>
            <c:v>Block4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Game!$Q$26:$Q$30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Game!$R$26:$R$30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E-0C7A-452D-B9F6-64C14F369C0A}"/>
            </c:ext>
          </c:extLst>
        </c:ser>
        <c:ser>
          <c:idx val="7"/>
          <c:order val="7"/>
          <c:tx>
            <c:v>Block5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Game!$Q$32:$Q$36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Game!$R$32:$R$36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F-0C7A-452D-B9F6-64C14F369C0A}"/>
            </c:ext>
          </c:extLst>
        </c:ser>
        <c:ser>
          <c:idx val="8"/>
          <c:order val="8"/>
          <c:tx>
            <c:v>Block6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Game!$Q$38:$Q$42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Game!$R$38:$R$42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0-0C7A-452D-B9F6-64C14F369C0A}"/>
            </c:ext>
          </c:extLst>
        </c:ser>
        <c:ser>
          <c:idx val="9"/>
          <c:order val="9"/>
          <c:tx>
            <c:v>Block7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Game!$Q$44:$Q$48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Game!$R$44:$R$48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1-0C7A-452D-B9F6-64C14F369C0A}"/>
            </c:ext>
          </c:extLst>
        </c:ser>
        <c:ser>
          <c:idx val="10"/>
          <c:order val="10"/>
          <c:tx>
            <c:v>Block8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Game!$Q$50:$Q$54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Game!$R$50:$R$54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2-0C7A-452D-B9F6-64C14F369C0A}"/>
            </c:ext>
          </c:extLst>
        </c:ser>
        <c:ser>
          <c:idx val="11"/>
          <c:order val="11"/>
          <c:tx>
            <c:v>Block9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Game!$Q$56:$Q$60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Game!$R$56:$R$60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3-0C7A-452D-B9F6-64C14F369C0A}"/>
            </c:ext>
          </c:extLst>
        </c:ser>
        <c:ser>
          <c:idx val="12"/>
          <c:order val="12"/>
          <c:tx>
            <c:v>Block10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Game!$Q$62:$Q$66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Game!$R$62:$R$66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4-0C7A-452D-B9F6-64C14F369C0A}"/>
            </c:ext>
          </c:extLst>
        </c:ser>
        <c:ser>
          <c:idx val="13"/>
          <c:order val="13"/>
          <c:tx>
            <c:v>Block11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Game!$Q$68:$Q$72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Game!$R$68:$R$72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5-0C7A-452D-B9F6-64C14F369C0A}"/>
            </c:ext>
          </c:extLst>
        </c:ser>
        <c:ser>
          <c:idx val="14"/>
          <c:order val="14"/>
          <c:tx>
            <c:v>Block12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Game!$Q$74:$Q$78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Game!$R$74:$R$78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6-0C7A-452D-B9F6-64C14F369C0A}"/>
            </c:ext>
          </c:extLst>
        </c:ser>
        <c:ser>
          <c:idx val="15"/>
          <c:order val="15"/>
          <c:tx>
            <c:v>Block13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Game!$Q$80:$Q$84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Game!$R$80:$R$84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7-0C7A-452D-B9F6-64C14F369C0A}"/>
            </c:ext>
          </c:extLst>
        </c:ser>
        <c:ser>
          <c:idx val="16"/>
          <c:order val="16"/>
          <c:tx>
            <c:v>Block14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Game!$Q$86:$Q$90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Game!$R$86:$R$90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8-0C7A-452D-B9F6-64C14F369C0A}"/>
            </c:ext>
          </c:extLst>
        </c:ser>
        <c:ser>
          <c:idx val="17"/>
          <c:order val="17"/>
          <c:tx>
            <c:v>Block15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Game!$Q$92:$Q$96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Game!$R$92:$R$96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9-0C7A-452D-B9F6-64C14F369C0A}"/>
            </c:ext>
          </c:extLst>
        </c:ser>
        <c:ser>
          <c:idx val="18"/>
          <c:order val="18"/>
          <c:tx>
            <c:v>Block16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Game!$Q$98:$Q$102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Game!$R$98:$R$102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A-0C7A-452D-B9F6-64C14F369C0A}"/>
            </c:ext>
          </c:extLst>
        </c:ser>
        <c:ser>
          <c:idx val="19"/>
          <c:order val="19"/>
          <c:tx>
            <c:v>Block17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Game!$Q$104:$Q$108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Game!$R$104:$R$108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B-0C7A-452D-B9F6-64C14F369C0A}"/>
            </c:ext>
          </c:extLst>
        </c:ser>
        <c:ser>
          <c:idx val="20"/>
          <c:order val="20"/>
          <c:tx>
            <c:v>Block18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Game!$Q$110:$Q$114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Game!$R$110:$R$114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C-0C7A-452D-B9F6-64C14F369C0A}"/>
            </c:ext>
          </c:extLst>
        </c:ser>
        <c:ser>
          <c:idx val="21"/>
          <c:order val="21"/>
          <c:tx>
            <c:v>Block19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Game!$Q$116:$Q$120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Game!$R$116:$R$120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D-0C7A-452D-B9F6-64C14F369C0A}"/>
            </c:ext>
          </c:extLst>
        </c:ser>
        <c:ser>
          <c:idx val="22"/>
          <c:order val="22"/>
          <c:tx>
            <c:v>Block20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Game!$Q$122:$Q$126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Game!$R$122:$R$126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E-0C7A-452D-B9F6-64C14F369C0A}"/>
            </c:ext>
          </c:extLst>
        </c:ser>
        <c:ser>
          <c:idx val="23"/>
          <c:order val="23"/>
          <c:tx>
            <c:v>Block21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Game!$Q$128:$Q$132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Game!$R$128:$R$132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F-0C7A-452D-B9F6-64C14F369C0A}"/>
            </c:ext>
          </c:extLst>
        </c:ser>
        <c:ser>
          <c:idx val="24"/>
          <c:order val="24"/>
          <c:tx>
            <c:v>Block22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Game!$Q$134:$Q$138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Game!$R$134:$R$138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0-0C7A-452D-B9F6-64C14F369C0A}"/>
            </c:ext>
          </c:extLst>
        </c:ser>
        <c:ser>
          <c:idx val="25"/>
          <c:order val="25"/>
          <c:tx>
            <c:v>Block23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Game!$Q$140:$Q$144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Game!$R$140:$R$144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1-0C7A-452D-B9F6-64C14F369C0A}"/>
            </c:ext>
          </c:extLst>
        </c:ser>
        <c:ser>
          <c:idx val="26"/>
          <c:order val="26"/>
          <c:tx>
            <c:v>Block24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Game!$Q$146:$Q$150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Game!$R$146:$R$150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2-0C7A-452D-B9F6-64C14F369C0A}"/>
            </c:ext>
          </c:extLst>
        </c:ser>
        <c:ser>
          <c:idx val="27"/>
          <c:order val="27"/>
          <c:tx>
            <c:v>Block25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Game!$Q$152:$Q$156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Game!$R$152:$R$156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3-0C7A-452D-B9F6-64C14F369C0A}"/>
            </c:ext>
          </c:extLst>
        </c:ser>
        <c:ser>
          <c:idx val="28"/>
          <c:order val="28"/>
          <c:tx>
            <c:v>Block26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Game!$Q$158:$Q$162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Game!$R$158:$R$162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4-0C7A-452D-B9F6-64C14F369C0A}"/>
            </c:ext>
          </c:extLst>
        </c:ser>
        <c:ser>
          <c:idx val="29"/>
          <c:order val="29"/>
          <c:tx>
            <c:v>Block27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Game!$Q$164:$Q$168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Game!$R$164:$R$168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5-0C7A-452D-B9F6-64C14F369C0A}"/>
            </c:ext>
          </c:extLst>
        </c:ser>
        <c:ser>
          <c:idx val="30"/>
          <c:order val="30"/>
          <c:tx>
            <c:v>Block28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Game!$Q$170:$Q$174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Game!$R$170:$R$174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6-0C7A-452D-B9F6-64C14F369C0A}"/>
            </c:ext>
          </c:extLst>
        </c:ser>
        <c:ser>
          <c:idx val="31"/>
          <c:order val="31"/>
          <c:tx>
            <c:v>Block29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Game!$Q$176:$Q$180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Game!$R$176:$R$180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7-0C7A-452D-B9F6-64C14F369C0A}"/>
            </c:ext>
          </c:extLst>
        </c:ser>
        <c:ser>
          <c:idx val="32"/>
          <c:order val="32"/>
          <c:tx>
            <c:v>Block30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Game!$Q$182:$Q$186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Game!$R$182:$R$186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8-0C7A-452D-B9F6-64C14F369C0A}"/>
            </c:ext>
          </c:extLst>
        </c:ser>
        <c:ser>
          <c:idx val="33"/>
          <c:order val="33"/>
          <c:tx>
            <c:v>Block31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Game!$Q$188:$Q$192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Game!$R$188:$R$192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9-0C7A-452D-B9F6-64C14F369C0A}"/>
            </c:ext>
          </c:extLst>
        </c:ser>
        <c:ser>
          <c:idx val="34"/>
          <c:order val="34"/>
          <c:tx>
            <c:v>Block32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Game!$Q$194:$Q$198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Game!$R$194:$R$198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A-0C7A-452D-B9F6-64C14F369C0A}"/>
            </c:ext>
          </c:extLst>
        </c:ser>
        <c:ser>
          <c:idx val="35"/>
          <c:order val="35"/>
          <c:tx>
            <c:v>Block33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Game!$Q$200:$Q$204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Game!$R$200:$R$204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B-0C7A-452D-B9F6-64C14F369C0A}"/>
            </c:ext>
          </c:extLst>
        </c:ser>
        <c:ser>
          <c:idx val="36"/>
          <c:order val="36"/>
          <c:tx>
            <c:v>Block34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Game!$Q$206:$Q$210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Game!$R$206:$R$210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C-0C7A-452D-B9F6-64C14F369C0A}"/>
            </c:ext>
          </c:extLst>
        </c:ser>
        <c:ser>
          <c:idx val="37"/>
          <c:order val="37"/>
          <c:tx>
            <c:v>Block35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Game!$Q$212:$Q$216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Game!$R$212:$R$216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D-0C7A-452D-B9F6-64C14F369C0A}"/>
            </c:ext>
          </c:extLst>
        </c:ser>
        <c:ser>
          <c:idx val="38"/>
          <c:order val="38"/>
          <c:tx>
            <c:v>Block36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Game!$Q$218:$Q$222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Game!$R$218:$R$222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E-0C7A-452D-B9F6-64C14F369C0A}"/>
            </c:ext>
          </c:extLst>
        </c:ser>
        <c:ser>
          <c:idx val="39"/>
          <c:order val="39"/>
          <c:tx>
            <c:v>Block37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Game!$Q$224:$Q$228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Game!$R$224:$R$228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F-0C7A-452D-B9F6-64C14F369C0A}"/>
            </c:ext>
          </c:extLst>
        </c:ser>
        <c:ser>
          <c:idx val="40"/>
          <c:order val="40"/>
          <c:tx>
            <c:v>Block38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Game!$Q$230:$Q$234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Game!$R$230:$R$234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0-0C7A-452D-B9F6-64C14F369C0A}"/>
            </c:ext>
          </c:extLst>
        </c:ser>
        <c:ser>
          <c:idx val="41"/>
          <c:order val="41"/>
          <c:tx>
            <c:v>Block39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Game!$Q$236:$Q$240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Game!$R$236:$R$240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1-0C7A-452D-B9F6-64C14F369C0A}"/>
            </c:ext>
          </c:extLst>
        </c:ser>
        <c:ser>
          <c:idx val="42"/>
          <c:order val="42"/>
          <c:tx>
            <c:v>Block40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Game!$Q$242:$Q$246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Game!$R$242:$R$246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2-0C7A-452D-B9F6-64C14F369C0A}"/>
            </c:ext>
          </c:extLst>
        </c:ser>
        <c:ser>
          <c:idx val="43"/>
          <c:order val="43"/>
          <c:tx>
            <c:v>Block41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Game!$Q$248:$Q$252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Game!$R$248:$R$252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3-0C7A-452D-B9F6-64C14F369C0A}"/>
            </c:ext>
          </c:extLst>
        </c:ser>
        <c:ser>
          <c:idx val="44"/>
          <c:order val="44"/>
          <c:tx>
            <c:v>Block42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Game!$Q$254:$Q$258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Game!$R$254:$R$258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4-0C7A-452D-B9F6-64C14F369C0A}"/>
            </c:ext>
          </c:extLst>
        </c:ser>
        <c:ser>
          <c:idx val="45"/>
          <c:order val="45"/>
          <c:tx>
            <c:v>Block43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Game!$Q$260:$Q$264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Game!$R$260:$R$264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5-0C7A-452D-B9F6-64C14F369C0A}"/>
            </c:ext>
          </c:extLst>
        </c:ser>
        <c:ser>
          <c:idx val="46"/>
          <c:order val="46"/>
          <c:tx>
            <c:v>Block44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Game!$Q$266:$Q$270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Game!$R$266:$R$270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6-0C7A-452D-B9F6-64C14F369C0A}"/>
            </c:ext>
          </c:extLst>
        </c:ser>
        <c:ser>
          <c:idx val="47"/>
          <c:order val="47"/>
          <c:tx>
            <c:v>Block45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Game!$Q$272:$Q$276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Game!$R$272:$R$276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7-0C7A-452D-B9F6-64C14F369C0A}"/>
            </c:ext>
          </c:extLst>
        </c:ser>
        <c:ser>
          <c:idx val="48"/>
          <c:order val="48"/>
          <c:tx>
            <c:v>Block46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Game!$Q$278:$Q$282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Game!$R$278:$R$282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8-0C7A-452D-B9F6-64C14F369C0A}"/>
            </c:ext>
          </c:extLst>
        </c:ser>
        <c:ser>
          <c:idx val="49"/>
          <c:order val="49"/>
          <c:tx>
            <c:v>Block47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Game!$Q$284:$Q$288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Game!$R$284:$R$288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9-0C7A-452D-B9F6-64C14F369C0A}"/>
            </c:ext>
          </c:extLst>
        </c:ser>
        <c:ser>
          <c:idx val="50"/>
          <c:order val="50"/>
          <c:tx>
            <c:v>Block48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Game!$Q$290:$Q$294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Game!$R$290:$R$294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A-0C7A-452D-B9F6-64C14F369C0A}"/>
            </c:ext>
          </c:extLst>
        </c:ser>
        <c:ser>
          <c:idx val="51"/>
          <c:order val="51"/>
          <c:tx>
            <c:v>Block49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Game!$Q$296:$Q$300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Game!$R$296:$R$300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B-0C7A-452D-B9F6-64C14F369C0A}"/>
            </c:ext>
          </c:extLst>
        </c:ser>
        <c:ser>
          <c:idx val="52"/>
          <c:order val="52"/>
          <c:tx>
            <c:v>Block50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Game!$Q$302:$Q$306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Game!$R$302:$R$306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C-0C7A-452D-B9F6-64C14F369C0A}"/>
            </c:ext>
          </c:extLst>
        </c:ser>
        <c:ser>
          <c:idx val="53"/>
          <c:order val="53"/>
          <c:tx>
            <c:v>Block51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Game!$Q$308:$Q$312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Game!$R$308:$R$312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D-0C7A-452D-B9F6-64C14F369C0A}"/>
            </c:ext>
          </c:extLst>
        </c:ser>
        <c:ser>
          <c:idx val="54"/>
          <c:order val="54"/>
          <c:tx>
            <c:v>Block52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Game!$Q$314:$Q$318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Game!$R$314:$R$318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E-0C7A-452D-B9F6-64C14F369C0A}"/>
            </c:ext>
          </c:extLst>
        </c:ser>
        <c:ser>
          <c:idx val="55"/>
          <c:order val="55"/>
          <c:tx>
            <c:v>Block53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Game!$Q$320:$Q$324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Game!$R$320:$R$324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F-0C7A-452D-B9F6-64C14F369C0A}"/>
            </c:ext>
          </c:extLst>
        </c:ser>
        <c:ser>
          <c:idx val="56"/>
          <c:order val="56"/>
          <c:tx>
            <c:v>Block54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Game!$Q$326:$Q$330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Game!$R$326:$R$330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0-0C7A-452D-B9F6-64C14F369C0A}"/>
            </c:ext>
          </c:extLst>
        </c:ser>
        <c:ser>
          <c:idx val="57"/>
          <c:order val="57"/>
          <c:tx>
            <c:v>Block55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Game!$Q$332:$Q$336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Game!$R$332:$R$336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1-0C7A-452D-B9F6-64C14F369C0A}"/>
            </c:ext>
          </c:extLst>
        </c:ser>
        <c:ser>
          <c:idx val="58"/>
          <c:order val="58"/>
          <c:tx>
            <c:v>Block56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Game!$Q$338:$Q$342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Game!$R$338:$R$342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2-0C7A-452D-B9F6-64C14F369C0A}"/>
            </c:ext>
          </c:extLst>
        </c:ser>
        <c:ser>
          <c:idx val="59"/>
          <c:order val="59"/>
          <c:tx>
            <c:v>Block57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Game!$Q$344:$Q$348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Game!$R$344:$R$348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3-0C7A-452D-B9F6-64C14F369C0A}"/>
            </c:ext>
          </c:extLst>
        </c:ser>
        <c:ser>
          <c:idx val="60"/>
          <c:order val="60"/>
          <c:tx>
            <c:v>Block58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Game!$Q$350:$Q$354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Game!$R$350:$R$354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4-0C7A-452D-B9F6-64C14F369C0A}"/>
            </c:ext>
          </c:extLst>
        </c:ser>
        <c:ser>
          <c:idx val="61"/>
          <c:order val="61"/>
          <c:tx>
            <c:v>Block59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Game!$Q$356:$Q$360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Game!$R$356:$R$360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5-0C7A-452D-B9F6-64C14F369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numFmt formatCode="General" sourceLinked="1"/>
        <c:majorTickMark val="none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numFmt formatCode="General" sourceLinked="1"/>
        <c:majorTickMark val="none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292424</xdr:colOff>
      <xdr:row>3</xdr:row>
      <xdr:rowOff>144931</xdr:rowOff>
    </xdr:from>
    <xdr:to>
      <xdr:col>10</xdr:col>
      <xdr:colOff>205399</xdr:colOff>
      <xdr:row>28</xdr:row>
      <xdr:rowOff>57193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4515403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4515403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BREAK</a:t>
          </a:r>
          <a:r>
            <a:rPr lang="en-US" altLang="ko-KR" sz="7200" baseline="0">
              <a:solidFill>
                <a:schemeClr val="bg1"/>
              </a:solidFill>
            </a:rPr>
            <a:t> OUT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LEFT</a:t>
          </a:r>
          <a:r>
            <a:rPr lang="en-US" altLang="ko-KR" sz="1800" baseline="0">
              <a:solidFill>
                <a:schemeClr val="bg1"/>
              </a:solidFill>
            </a:rPr>
            <a:t> RIGHT ARROW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11</xdr:col>
      <xdr:colOff>0</xdr:colOff>
      <xdr:row>1</xdr:row>
      <xdr:rowOff>0</xdr:rowOff>
    </xdr:from>
    <xdr:to>
      <xdr:col>12</xdr:col>
      <xdr:colOff>315242</xdr:colOff>
      <xdr:row>7</xdr:row>
      <xdr:rowOff>204973</xdr:rowOff>
    </xdr:to>
    <xdr:pic>
      <xdr:nvPicPr>
        <xdr:cNvPr id="18" name="_0">
          <a:extLst>
            <a:ext uri="{FF2B5EF4-FFF2-40B4-BE49-F238E27FC236}">
              <a16:creationId xmlns:a16="http://schemas.microsoft.com/office/drawing/2014/main" id="{A2337756-98FC-4C92-AB9A-983F34FA8E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6091" y="20781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14</xdr:col>
      <xdr:colOff>315241</xdr:colOff>
      <xdr:row>7</xdr:row>
      <xdr:rowOff>204973</xdr:rowOff>
    </xdr:to>
    <xdr:pic>
      <xdr:nvPicPr>
        <xdr:cNvPr id="19" name="_0">
          <a:extLst>
            <a:ext uri="{FF2B5EF4-FFF2-40B4-BE49-F238E27FC236}">
              <a16:creationId xmlns:a16="http://schemas.microsoft.com/office/drawing/2014/main" id="{385B233F-EA03-4D20-BDAE-4789AB745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1545" y="20781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16</xdr:col>
      <xdr:colOff>315242</xdr:colOff>
      <xdr:row>7</xdr:row>
      <xdr:rowOff>204973</xdr:rowOff>
    </xdr:to>
    <xdr:pic>
      <xdr:nvPicPr>
        <xdr:cNvPr id="20" name="_0">
          <a:extLst>
            <a:ext uri="{FF2B5EF4-FFF2-40B4-BE49-F238E27FC236}">
              <a16:creationId xmlns:a16="http://schemas.microsoft.com/office/drawing/2014/main" id="{0D4BCEED-9F7F-4537-9D57-B83384B933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0" y="20781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0</xdr:row>
      <xdr:rowOff>0</xdr:rowOff>
    </xdr:from>
    <xdr:to>
      <xdr:col>16</xdr:col>
      <xdr:colOff>207869</xdr:colOff>
      <xdr:row>7</xdr:row>
      <xdr:rowOff>9525</xdr:rowOff>
    </xdr:to>
    <xdr:pic>
      <xdr:nvPicPr>
        <xdr:cNvPr id="2" name="_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0"/>
          <a:ext cx="1007969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20732</xdr:colOff>
      <xdr:row>0</xdr:row>
      <xdr:rowOff>0</xdr:rowOff>
    </xdr:from>
    <xdr:to>
      <xdr:col>18</xdr:col>
      <xdr:colOff>628650</xdr:colOff>
      <xdr:row>7</xdr:row>
      <xdr:rowOff>9525</xdr:rowOff>
    </xdr:to>
    <xdr:pic>
      <xdr:nvPicPr>
        <xdr:cNvPr id="3" name="_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132" y="0"/>
          <a:ext cx="1007968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68356</xdr:colOff>
      <xdr:row>0</xdr:row>
      <xdr:rowOff>0</xdr:rowOff>
    </xdr:from>
    <xdr:to>
      <xdr:col>22</xdr:col>
      <xdr:colOff>32497</xdr:colOff>
      <xdr:row>7</xdr:row>
      <xdr:rowOff>9525</xdr:rowOff>
    </xdr:to>
    <xdr:pic>
      <xdr:nvPicPr>
        <xdr:cNvPr id="4" name="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8631" y="0"/>
          <a:ext cx="1002366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104775</xdr:colOff>
      <xdr:row>8</xdr:row>
      <xdr:rowOff>30256</xdr:rowOff>
    </xdr:from>
    <xdr:to>
      <xdr:col>16</xdr:col>
      <xdr:colOff>253813</xdr:colOff>
      <xdr:row>15</xdr:row>
      <xdr:rowOff>39781</xdr:rowOff>
    </xdr:to>
    <xdr:pic>
      <xdr:nvPicPr>
        <xdr:cNvPr id="5" name="_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875" y="1716181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30256</xdr:colOff>
      <xdr:row>7</xdr:row>
      <xdr:rowOff>200025</xdr:rowOff>
    </xdr:from>
    <xdr:to>
      <xdr:col>18</xdr:col>
      <xdr:colOff>632572</xdr:colOff>
      <xdr:row>15</xdr:row>
      <xdr:rowOff>0</xdr:rowOff>
    </xdr:to>
    <xdr:pic>
      <xdr:nvPicPr>
        <xdr:cNvPr id="7" name="_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656" y="167640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125506</xdr:colOff>
      <xdr:row>7</xdr:row>
      <xdr:rowOff>182655</xdr:rowOff>
    </xdr:from>
    <xdr:to>
      <xdr:col>22</xdr:col>
      <xdr:colOff>89647</xdr:colOff>
      <xdr:row>14</xdr:row>
      <xdr:rowOff>192180</xdr:rowOff>
    </xdr:to>
    <xdr:pic>
      <xdr:nvPicPr>
        <xdr:cNvPr id="8" name="_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5781" y="1659030"/>
          <a:ext cx="100236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180975</xdr:colOff>
      <xdr:row>15</xdr:row>
      <xdr:rowOff>155761</xdr:rowOff>
    </xdr:from>
    <xdr:to>
      <xdr:col>16</xdr:col>
      <xdr:colOff>330013</xdr:colOff>
      <xdr:row>22</xdr:row>
      <xdr:rowOff>165286</xdr:rowOff>
    </xdr:to>
    <xdr:pic>
      <xdr:nvPicPr>
        <xdr:cNvPr id="9" name="_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3308536"/>
          <a:ext cx="1006288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132228</xdr:colOff>
      <xdr:row>15</xdr:row>
      <xdr:rowOff>180975</xdr:rowOff>
    </xdr:from>
    <xdr:to>
      <xdr:col>19</xdr:col>
      <xdr:colOff>49865</xdr:colOff>
      <xdr:row>22</xdr:row>
      <xdr:rowOff>190500</xdr:rowOff>
    </xdr:to>
    <xdr:pic>
      <xdr:nvPicPr>
        <xdr:cNvPr id="10" name="_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3085" y="3256189"/>
          <a:ext cx="992601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130549</xdr:colOff>
      <xdr:row>15</xdr:row>
      <xdr:rowOff>163607</xdr:rowOff>
    </xdr:from>
    <xdr:to>
      <xdr:col>22</xdr:col>
      <xdr:colOff>95811</xdr:colOff>
      <xdr:row>22</xdr:row>
      <xdr:rowOff>173131</xdr:rowOff>
    </xdr:to>
    <xdr:pic>
      <xdr:nvPicPr>
        <xdr:cNvPr id="11" name="_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4" y="3316382"/>
          <a:ext cx="1003487" cy="1476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192181</xdr:colOff>
      <xdr:row>23</xdr:row>
      <xdr:rowOff>125506</xdr:rowOff>
    </xdr:from>
    <xdr:to>
      <xdr:col>16</xdr:col>
      <xdr:colOff>341219</xdr:colOff>
      <xdr:row>30</xdr:row>
      <xdr:rowOff>135030</xdr:rowOff>
    </xdr:to>
    <xdr:pic>
      <xdr:nvPicPr>
        <xdr:cNvPr id="12" name="_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181" y="4833577"/>
          <a:ext cx="1006288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A1:W360"/>
  <sheetViews>
    <sheetView tabSelected="1" zoomScale="55" zoomScaleNormal="55" workbookViewId="0">
      <selection activeCell="O26" sqref="O26"/>
    </sheetView>
  </sheetViews>
  <sheetFormatPr defaultRowHeight="16.5" x14ac:dyDescent="0.3"/>
  <cols>
    <col min="1" max="8" width="9" style="11"/>
    <col min="9" max="9" width="9" style="11" customWidth="1"/>
    <col min="10" max="10" width="7.75" style="11" customWidth="1"/>
    <col min="11" max="33" width="9" style="11"/>
    <col min="34" max="36" width="9" style="11" customWidth="1"/>
    <col min="37" max="16384" width="9" style="11"/>
  </cols>
  <sheetData>
    <row r="1" spans="1:23" x14ac:dyDescent="0.3">
      <c r="B1" s="11" t="s">
        <v>12</v>
      </c>
      <c r="C1" s="11" t="s">
        <v>11</v>
      </c>
      <c r="F1" s="11" t="s">
        <v>11</v>
      </c>
      <c r="G1" s="11" t="s">
        <v>12</v>
      </c>
      <c r="H1" s="11" t="s">
        <v>9</v>
      </c>
      <c r="I1" s="11" t="s">
        <v>10</v>
      </c>
      <c r="K1" s="11" t="s">
        <v>7</v>
      </c>
      <c r="L1" s="11" t="s">
        <v>8</v>
      </c>
      <c r="N1" s="11" t="s">
        <v>7</v>
      </c>
      <c r="O1" s="11" t="s">
        <v>8</v>
      </c>
      <c r="P1" s="11">
        <f>COUNTA(S:S)</f>
        <v>60</v>
      </c>
      <c r="Q1" s="11" t="s">
        <v>18</v>
      </c>
      <c r="R1" s="11" t="s">
        <v>19</v>
      </c>
      <c r="T1" s="11" t="s">
        <v>15</v>
      </c>
      <c r="U1" s="11" t="s">
        <v>7</v>
      </c>
      <c r="V1" s="11" t="s">
        <v>8</v>
      </c>
    </row>
    <row r="2" spans="1:23" x14ac:dyDescent="0.3">
      <c r="A2" s="11" t="s">
        <v>13</v>
      </c>
      <c r="B2" s="11">
        <v>5</v>
      </c>
      <c r="C2" s="11">
        <v>20</v>
      </c>
      <c r="E2" s="11" t="s">
        <v>14</v>
      </c>
      <c r="F2" s="11">
        <v>10</v>
      </c>
      <c r="G2" s="11">
        <v>5</v>
      </c>
      <c r="H2" s="11">
        <v>-1</v>
      </c>
      <c r="I2" s="11">
        <v>-1</v>
      </c>
      <c r="K2" s="11">
        <v>-10</v>
      </c>
      <c r="L2" s="11">
        <v>-40</v>
      </c>
      <c r="N2" s="11">
        <v>0</v>
      </c>
      <c r="O2" s="11">
        <v>0</v>
      </c>
      <c r="Q2" s="11">
        <v>-50</v>
      </c>
      <c r="R2" s="11">
        <v>45</v>
      </c>
      <c r="S2" s="11" t="b">
        <f>AND(Ballx&gt;=Q3,Ballx&lt;=Q4,Bally&gt;=R2,Bally&lt;=R3)</f>
        <v>0</v>
      </c>
      <c r="U2" s="11">
        <v>-50</v>
      </c>
      <c r="V2" s="11">
        <v>45</v>
      </c>
      <c r="W2" s="11" t="b">
        <f>AND(Ballx&gt;=U3,Ballx&lt;=U4,Bally&gt;=V2,Bally&lt;=V3)</f>
        <v>0</v>
      </c>
    </row>
    <row r="3" spans="1:23" x14ac:dyDescent="0.3">
      <c r="K3" s="11">
        <f>K2</f>
        <v>-10</v>
      </c>
      <c r="L3" s="11">
        <f>L2+B2</f>
        <v>-35</v>
      </c>
      <c r="Q3" s="11">
        <f>Q2</f>
        <v>-50</v>
      </c>
      <c r="R3" s="11">
        <f>R2+$G$2</f>
        <v>50</v>
      </c>
      <c r="U3" s="11">
        <f>U2</f>
        <v>-50</v>
      </c>
      <c r="V3" s="11">
        <f>V2+$G$2</f>
        <v>50</v>
      </c>
    </row>
    <row r="4" spans="1:23" x14ac:dyDescent="0.3">
      <c r="K4" s="11">
        <f>K2+C2</f>
        <v>10</v>
      </c>
      <c r="L4" s="11">
        <f>L3</f>
        <v>-35</v>
      </c>
      <c r="Q4" s="11">
        <f>Q2+$F$2</f>
        <v>-40</v>
      </c>
      <c r="R4" s="11">
        <f>R3</f>
        <v>50</v>
      </c>
      <c r="U4" s="11">
        <f>U2+$F$2</f>
        <v>-40</v>
      </c>
      <c r="V4" s="11">
        <f>V3</f>
        <v>50</v>
      </c>
    </row>
    <row r="5" spans="1:23" x14ac:dyDescent="0.3">
      <c r="E5" s="12"/>
      <c r="F5" s="12"/>
      <c r="K5" s="11">
        <f>K2+C2</f>
        <v>10</v>
      </c>
      <c r="L5" s="11">
        <f>L2</f>
        <v>-40</v>
      </c>
      <c r="Q5" s="11">
        <f>Q2+$F$2</f>
        <v>-40</v>
      </c>
      <c r="R5" s="11">
        <f>R2</f>
        <v>45</v>
      </c>
      <c r="U5" s="11">
        <f>U2+$F$2</f>
        <v>-40</v>
      </c>
      <c r="V5" s="11">
        <f>V2</f>
        <v>45</v>
      </c>
    </row>
    <row r="6" spans="1:23" x14ac:dyDescent="0.3">
      <c r="A6" s="11">
        <v>0</v>
      </c>
      <c r="K6" s="11">
        <f>K2</f>
        <v>-10</v>
      </c>
      <c r="L6" s="11">
        <f>L2</f>
        <v>-40</v>
      </c>
      <c r="Q6" s="11">
        <f>Q2</f>
        <v>-50</v>
      </c>
      <c r="R6" s="11">
        <f>R2</f>
        <v>45</v>
      </c>
      <c r="U6" s="11">
        <f>U2</f>
        <v>-50</v>
      </c>
      <c r="V6" s="11">
        <f>V2</f>
        <v>45</v>
      </c>
    </row>
    <row r="7" spans="1:23" x14ac:dyDescent="0.3">
      <c r="Q7" s="11" t="s">
        <v>16</v>
      </c>
      <c r="R7" s="11" t="s">
        <v>17</v>
      </c>
    </row>
    <row r="8" spans="1:23" x14ac:dyDescent="0.3">
      <c r="Q8" s="11">
        <v>-40</v>
      </c>
      <c r="R8" s="11">
        <v>45</v>
      </c>
      <c r="S8" s="11" t="b">
        <f>AND(Ballx&gt;=Q9,Ballx&lt;=Q10,Bally&gt;=R8,Bally&lt;=R9)</f>
        <v>0</v>
      </c>
    </row>
    <row r="9" spans="1:23" x14ac:dyDescent="0.3">
      <c r="Q9" s="11">
        <f>Q8</f>
        <v>-40</v>
      </c>
      <c r="R9" s="11">
        <f>R8+$G$2</f>
        <v>50</v>
      </c>
    </row>
    <row r="10" spans="1:23" x14ac:dyDescent="0.3">
      <c r="Q10" s="11">
        <f>Q8+$F$2</f>
        <v>-30</v>
      </c>
      <c r="R10" s="11">
        <f>R9</f>
        <v>50</v>
      </c>
    </row>
    <row r="11" spans="1:23" x14ac:dyDescent="0.3">
      <c r="Q11" s="11">
        <f>Q8+$F$2</f>
        <v>-30</v>
      </c>
      <c r="R11" s="11">
        <f>R8</f>
        <v>45</v>
      </c>
    </row>
    <row r="12" spans="1:23" x14ac:dyDescent="0.3">
      <c r="Q12" s="11">
        <f>Q8</f>
        <v>-40</v>
      </c>
      <c r="R12" s="11">
        <f>R8</f>
        <v>45</v>
      </c>
    </row>
    <row r="13" spans="1:23" x14ac:dyDescent="0.3">
      <c r="Q13" s="11" t="s">
        <v>16</v>
      </c>
      <c r="R13" s="11" t="s">
        <v>17</v>
      </c>
    </row>
    <row r="14" spans="1:23" x14ac:dyDescent="0.3">
      <c r="Q14" s="11">
        <v>-30</v>
      </c>
      <c r="R14" s="11">
        <v>45</v>
      </c>
      <c r="S14" s="11" t="b">
        <f>AND(Ballx&gt;=Q15,Ballx&lt;=Q16,Bally&gt;=R14,Bally&lt;=R15)</f>
        <v>0</v>
      </c>
    </row>
    <row r="15" spans="1:23" x14ac:dyDescent="0.3">
      <c r="Q15" s="11">
        <f>Q14</f>
        <v>-30</v>
      </c>
      <c r="R15" s="11">
        <f>R14+$G$2</f>
        <v>50</v>
      </c>
    </row>
    <row r="16" spans="1:23" x14ac:dyDescent="0.3">
      <c r="Q16" s="11">
        <f>Q14+$F$2</f>
        <v>-20</v>
      </c>
      <c r="R16" s="11">
        <f>R15</f>
        <v>50</v>
      </c>
    </row>
    <row r="17" spans="17:19" x14ac:dyDescent="0.3">
      <c r="Q17" s="11">
        <f>Q14+$F$2</f>
        <v>-20</v>
      </c>
      <c r="R17" s="11">
        <f>R14</f>
        <v>45</v>
      </c>
    </row>
    <row r="18" spans="17:19" x14ac:dyDescent="0.3">
      <c r="Q18" s="11">
        <f>Q14</f>
        <v>-30</v>
      </c>
      <c r="R18" s="11">
        <f>R14</f>
        <v>45</v>
      </c>
    </row>
    <row r="19" spans="17:19" x14ac:dyDescent="0.3">
      <c r="Q19" s="11" t="s">
        <v>16</v>
      </c>
      <c r="R19" s="11" t="s">
        <v>17</v>
      </c>
    </row>
    <row r="20" spans="17:19" x14ac:dyDescent="0.3">
      <c r="Q20" s="11">
        <v>-20</v>
      </c>
      <c r="R20" s="11">
        <v>45</v>
      </c>
      <c r="S20" s="11" t="b">
        <f>AND(Ballx&gt;=Q21,Ballx&lt;=Q22,Bally&gt;=R20,Bally&lt;=R21)</f>
        <v>0</v>
      </c>
    </row>
    <row r="21" spans="17:19" x14ac:dyDescent="0.3">
      <c r="Q21" s="11">
        <f>Q20</f>
        <v>-20</v>
      </c>
      <c r="R21" s="11">
        <f>R20+$G$2</f>
        <v>50</v>
      </c>
    </row>
    <row r="22" spans="17:19" x14ac:dyDescent="0.3">
      <c r="Q22" s="11">
        <f>Q20+$F$2</f>
        <v>-10</v>
      </c>
      <c r="R22" s="11">
        <f>R21</f>
        <v>50</v>
      </c>
    </row>
    <row r="23" spans="17:19" x14ac:dyDescent="0.3">
      <c r="Q23" s="11">
        <f>Q20+$F$2</f>
        <v>-10</v>
      </c>
      <c r="R23" s="11">
        <f>R20</f>
        <v>45</v>
      </c>
    </row>
    <row r="24" spans="17:19" x14ac:dyDescent="0.3">
      <c r="Q24" s="11">
        <f>Q20</f>
        <v>-20</v>
      </c>
      <c r="R24" s="11">
        <f>R20</f>
        <v>45</v>
      </c>
    </row>
    <row r="25" spans="17:19" x14ac:dyDescent="0.3">
      <c r="Q25" s="11" t="s">
        <v>16</v>
      </c>
      <c r="R25" s="11" t="s">
        <v>17</v>
      </c>
    </row>
    <row r="26" spans="17:19" x14ac:dyDescent="0.3">
      <c r="Q26" s="11">
        <v>-10</v>
      </c>
      <c r="R26" s="11">
        <v>45</v>
      </c>
      <c r="S26" s="11" t="b">
        <f>AND(Ballx&gt;=Q27,Ballx&lt;=Q28,Bally&gt;=R26,Bally&lt;=R27)</f>
        <v>0</v>
      </c>
    </row>
    <row r="27" spans="17:19" x14ac:dyDescent="0.3">
      <c r="Q27" s="11">
        <f>Q26</f>
        <v>-10</v>
      </c>
      <c r="R27" s="11">
        <f>R26+$G$2</f>
        <v>50</v>
      </c>
    </row>
    <row r="28" spans="17:19" x14ac:dyDescent="0.3">
      <c r="Q28" s="11">
        <f>Q26+$F$2</f>
        <v>0</v>
      </c>
      <c r="R28" s="11">
        <f>R27</f>
        <v>50</v>
      </c>
    </row>
    <row r="29" spans="17:19" x14ac:dyDescent="0.3">
      <c r="Q29" s="11">
        <f>Q26+$F$2</f>
        <v>0</v>
      </c>
      <c r="R29" s="11">
        <f>R26</f>
        <v>45</v>
      </c>
    </row>
    <row r="30" spans="17:19" x14ac:dyDescent="0.3">
      <c r="Q30" s="11">
        <f>Q26</f>
        <v>-10</v>
      </c>
      <c r="R30" s="11">
        <f>R26</f>
        <v>45</v>
      </c>
    </row>
    <row r="31" spans="17:19" x14ac:dyDescent="0.3">
      <c r="Q31" s="11" t="s">
        <v>16</v>
      </c>
      <c r="R31" s="11" t="s">
        <v>17</v>
      </c>
    </row>
    <row r="32" spans="17:19" x14ac:dyDescent="0.3">
      <c r="Q32" s="11">
        <v>0</v>
      </c>
      <c r="R32" s="11">
        <v>45</v>
      </c>
      <c r="S32" s="11" t="b">
        <f>AND(Ballx&gt;=Q33,Ballx&lt;=Q34,Bally&gt;=R32,Bally&lt;=R33)</f>
        <v>0</v>
      </c>
    </row>
    <row r="33" spans="17:19" x14ac:dyDescent="0.3">
      <c r="Q33" s="11">
        <f>Q32</f>
        <v>0</v>
      </c>
      <c r="R33" s="11">
        <f>R32+$G$2</f>
        <v>50</v>
      </c>
    </row>
    <row r="34" spans="17:19" x14ac:dyDescent="0.3">
      <c r="Q34" s="11">
        <f>Q32+$F$2</f>
        <v>10</v>
      </c>
      <c r="R34" s="11">
        <f>R33</f>
        <v>50</v>
      </c>
    </row>
    <row r="35" spans="17:19" x14ac:dyDescent="0.3">
      <c r="Q35" s="11">
        <f>Q32+$F$2</f>
        <v>10</v>
      </c>
      <c r="R35" s="11">
        <f>R32</f>
        <v>45</v>
      </c>
    </row>
    <row r="36" spans="17:19" x14ac:dyDescent="0.3">
      <c r="Q36" s="11">
        <f>Q32</f>
        <v>0</v>
      </c>
      <c r="R36" s="11">
        <f>R32</f>
        <v>45</v>
      </c>
    </row>
    <row r="37" spans="17:19" x14ac:dyDescent="0.3">
      <c r="Q37" s="11" t="s">
        <v>16</v>
      </c>
      <c r="R37" s="11" t="s">
        <v>17</v>
      </c>
    </row>
    <row r="38" spans="17:19" x14ac:dyDescent="0.3">
      <c r="Q38" s="11">
        <v>10</v>
      </c>
      <c r="R38" s="11">
        <v>45</v>
      </c>
      <c r="S38" s="11" t="b">
        <f>AND(Ballx&gt;=Q39,Ballx&lt;=Q40,Bally&gt;=R38,Bally&lt;=R39)</f>
        <v>0</v>
      </c>
    </row>
    <row r="39" spans="17:19" x14ac:dyDescent="0.3">
      <c r="Q39" s="11">
        <f>Q38</f>
        <v>10</v>
      </c>
      <c r="R39" s="11">
        <f>R38+$G$2</f>
        <v>50</v>
      </c>
    </row>
    <row r="40" spans="17:19" x14ac:dyDescent="0.3">
      <c r="Q40" s="11">
        <f>Q38+$F$2</f>
        <v>20</v>
      </c>
      <c r="R40" s="11">
        <f>R39</f>
        <v>50</v>
      </c>
    </row>
    <row r="41" spans="17:19" x14ac:dyDescent="0.3">
      <c r="Q41" s="11">
        <f>Q38+$F$2</f>
        <v>20</v>
      </c>
      <c r="R41" s="11">
        <f>R38</f>
        <v>45</v>
      </c>
    </row>
    <row r="42" spans="17:19" x14ac:dyDescent="0.3">
      <c r="Q42" s="11">
        <f>Q38</f>
        <v>10</v>
      </c>
      <c r="R42" s="11">
        <f>R38</f>
        <v>45</v>
      </c>
    </row>
    <row r="43" spans="17:19" x14ac:dyDescent="0.3">
      <c r="Q43" s="11" t="s">
        <v>16</v>
      </c>
      <c r="R43" s="11" t="s">
        <v>17</v>
      </c>
    </row>
    <row r="44" spans="17:19" x14ac:dyDescent="0.3">
      <c r="Q44" s="11">
        <v>20</v>
      </c>
      <c r="R44" s="11">
        <v>45</v>
      </c>
      <c r="S44" s="11" t="b">
        <f>AND(Ballx&gt;=Q45,Ballx&lt;=Q46,Bally&gt;=R44,Bally&lt;=R45)</f>
        <v>0</v>
      </c>
    </row>
    <row r="45" spans="17:19" x14ac:dyDescent="0.3">
      <c r="Q45" s="11">
        <f>Q44</f>
        <v>20</v>
      </c>
      <c r="R45" s="11">
        <f>R44+$G$2</f>
        <v>50</v>
      </c>
    </row>
    <row r="46" spans="17:19" x14ac:dyDescent="0.3">
      <c r="Q46" s="11">
        <f>Q44+$F$2</f>
        <v>30</v>
      </c>
      <c r="R46" s="11">
        <f>R45</f>
        <v>50</v>
      </c>
    </row>
    <row r="47" spans="17:19" x14ac:dyDescent="0.3">
      <c r="Q47" s="11">
        <f>Q44+$F$2</f>
        <v>30</v>
      </c>
      <c r="R47" s="11">
        <f>R44</f>
        <v>45</v>
      </c>
    </row>
    <row r="48" spans="17:19" x14ac:dyDescent="0.3">
      <c r="Q48" s="11">
        <f>Q44</f>
        <v>20</v>
      </c>
      <c r="R48" s="11">
        <f>R44</f>
        <v>45</v>
      </c>
    </row>
    <row r="49" spans="17:19" x14ac:dyDescent="0.3">
      <c r="Q49" s="11" t="s">
        <v>16</v>
      </c>
      <c r="R49" s="11" t="s">
        <v>17</v>
      </c>
    </row>
    <row r="50" spans="17:19" x14ac:dyDescent="0.3">
      <c r="Q50" s="11">
        <v>30</v>
      </c>
      <c r="R50" s="11">
        <v>45</v>
      </c>
      <c r="S50" s="11" t="b">
        <f>AND(Ballx&gt;=Q51,Ballx&lt;=Q52,Bally&gt;=R50,Bally&lt;=R51)</f>
        <v>0</v>
      </c>
    </row>
    <row r="51" spans="17:19" x14ac:dyDescent="0.3">
      <c r="Q51" s="11">
        <f>Q50</f>
        <v>30</v>
      </c>
      <c r="R51" s="11">
        <f>R50+$G$2</f>
        <v>50</v>
      </c>
    </row>
    <row r="52" spans="17:19" x14ac:dyDescent="0.3">
      <c r="Q52" s="11">
        <f>Q50+$F$2</f>
        <v>40</v>
      </c>
      <c r="R52" s="11">
        <f>R51</f>
        <v>50</v>
      </c>
    </row>
    <row r="53" spans="17:19" x14ac:dyDescent="0.3">
      <c r="Q53" s="11">
        <f>Q50+$F$2</f>
        <v>40</v>
      </c>
      <c r="R53" s="11">
        <f>R50</f>
        <v>45</v>
      </c>
    </row>
    <row r="54" spans="17:19" x14ac:dyDescent="0.3">
      <c r="Q54" s="11">
        <f>Q50</f>
        <v>30</v>
      </c>
      <c r="R54" s="11">
        <f>R50</f>
        <v>45</v>
      </c>
    </row>
    <row r="55" spans="17:19" x14ac:dyDescent="0.3">
      <c r="Q55" s="11" t="s">
        <v>16</v>
      </c>
      <c r="R55" s="11" t="s">
        <v>17</v>
      </c>
    </row>
    <row r="56" spans="17:19" x14ac:dyDescent="0.3">
      <c r="Q56" s="11">
        <v>40</v>
      </c>
      <c r="R56" s="11">
        <v>45</v>
      </c>
      <c r="S56" s="11" t="b">
        <f>AND(Ballx&gt;=Q57,Ballx&lt;=Q58,Bally&gt;=R56,Bally&lt;=R57)</f>
        <v>0</v>
      </c>
    </row>
    <row r="57" spans="17:19" x14ac:dyDescent="0.3">
      <c r="Q57" s="11">
        <f>Q56</f>
        <v>40</v>
      </c>
      <c r="R57" s="11">
        <f>R56+$G$2</f>
        <v>50</v>
      </c>
    </row>
    <row r="58" spans="17:19" x14ac:dyDescent="0.3">
      <c r="Q58" s="11">
        <f>Q56+$F$2</f>
        <v>50</v>
      </c>
      <c r="R58" s="11">
        <f>R57</f>
        <v>50</v>
      </c>
    </row>
    <row r="59" spans="17:19" x14ac:dyDescent="0.3">
      <c r="Q59" s="11">
        <f>Q56+$F$2</f>
        <v>50</v>
      </c>
      <c r="R59" s="11">
        <f>R56</f>
        <v>45</v>
      </c>
    </row>
    <row r="60" spans="17:19" x14ac:dyDescent="0.3">
      <c r="Q60" s="11">
        <f>Q56</f>
        <v>40</v>
      </c>
      <c r="R60" s="11">
        <f>R56</f>
        <v>45</v>
      </c>
    </row>
    <row r="61" spans="17:19" x14ac:dyDescent="0.3">
      <c r="Q61" s="11" t="s">
        <v>16</v>
      </c>
      <c r="R61" s="11" t="s">
        <v>17</v>
      </c>
    </row>
    <row r="62" spans="17:19" x14ac:dyDescent="0.3">
      <c r="Q62" s="11">
        <v>-50</v>
      </c>
      <c r="R62" s="11">
        <v>40</v>
      </c>
      <c r="S62" s="11" t="b">
        <f>AND(Ballx&gt;=Q63,Ballx&lt;=Q64,Bally&gt;=R62,Bally&lt;=R63)</f>
        <v>0</v>
      </c>
    </row>
    <row r="63" spans="17:19" x14ac:dyDescent="0.3">
      <c r="Q63" s="11">
        <f>Q62</f>
        <v>-50</v>
      </c>
      <c r="R63" s="11">
        <f>R62+$G$2</f>
        <v>45</v>
      </c>
    </row>
    <row r="64" spans="17:19" x14ac:dyDescent="0.3">
      <c r="Q64" s="11">
        <f>Q62+$F$2</f>
        <v>-40</v>
      </c>
      <c r="R64" s="11">
        <f>R63</f>
        <v>45</v>
      </c>
    </row>
    <row r="65" spans="17:19" x14ac:dyDescent="0.3">
      <c r="Q65" s="11">
        <f>Q62+$F$2</f>
        <v>-40</v>
      </c>
      <c r="R65" s="11">
        <f>R62</f>
        <v>40</v>
      </c>
    </row>
    <row r="66" spans="17:19" x14ac:dyDescent="0.3">
      <c r="Q66" s="11">
        <f>Q62</f>
        <v>-50</v>
      </c>
      <c r="R66" s="11">
        <f>R62</f>
        <v>40</v>
      </c>
    </row>
    <row r="67" spans="17:19" x14ac:dyDescent="0.3">
      <c r="Q67" s="11" t="s">
        <v>16</v>
      </c>
      <c r="R67" s="11" t="s">
        <v>17</v>
      </c>
    </row>
    <row r="68" spans="17:19" x14ac:dyDescent="0.3">
      <c r="Q68" s="11">
        <v>-40</v>
      </c>
      <c r="R68" s="11">
        <v>40</v>
      </c>
      <c r="S68" s="11" t="b">
        <f>AND(Ballx&gt;=Q69,Ballx&lt;=Q70,Bally&gt;=R68,Bally&lt;=R69)</f>
        <v>0</v>
      </c>
    </row>
    <row r="69" spans="17:19" x14ac:dyDescent="0.3">
      <c r="Q69" s="11">
        <f>Q68</f>
        <v>-40</v>
      </c>
      <c r="R69" s="11">
        <f>R68+$G$2</f>
        <v>45</v>
      </c>
    </row>
    <row r="70" spans="17:19" x14ac:dyDescent="0.3">
      <c r="Q70" s="11">
        <f>Q68+$F$2</f>
        <v>-30</v>
      </c>
      <c r="R70" s="11">
        <f>R69</f>
        <v>45</v>
      </c>
    </row>
    <row r="71" spans="17:19" x14ac:dyDescent="0.3">
      <c r="Q71" s="11">
        <f>Q68+$F$2</f>
        <v>-30</v>
      </c>
      <c r="R71" s="11">
        <f>R68</f>
        <v>40</v>
      </c>
    </row>
    <row r="72" spans="17:19" x14ac:dyDescent="0.3">
      <c r="Q72" s="11">
        <f>Q68</f>
        <v>-40</v>
      </c>
      <c r="R72" s="11">
        <f>R68</f>
        <v>40</v>
      </c>
    </row>
    <row r="73" spans="17:19" x14ac:dyDescent="0.3">
      <c r="Q73" s="11" t="s">
        <v>16</v>
      </c>
      <c r="R73" s="11" t="s">
        <v>17</v>
      </c>
    </row>
    <row r="74" spans="17:19" x14ac:dyDescent="0.3">
      <c r="Q74" s="11">
        <v>-30</v>
      </c>
      <c r="R74" s="11">
        <v>40</v>
      </c>
      <c r="S74" s="11" t="b">
        <f>AND(Ballx&gt;=Q75,Ballx&lt;=Q76,Bally&gt;=R74,Bally&lt;=R75)</f>
        <v>0</v>
      </c>
    </row>
    <row r="75" spans="17:19" x14ac:dyDescent="0.3">
      <c r="Q75" s="11">
        <f>Q74</f>
        <v>-30</v>
      </c>
      <c r="R75" s="11">
        <f>R74+$G$2</f>
        <v>45</v>
      </c>
    </row>
    <row r="76" spans="17:19" x14ac:dyDescent="0.3">
      <c r="Q76" s="11">
        <f>Q74+$F$2</f>
        <v>-20</v>
      </c>
      <c r="R76" s="11">
        <f>R75</f>
        <v>45</v>
      </c>
    </row>
    <row r="77" spans="17:19" x14ac:dyDescent="0.3">
      <c r="Q77" s="11">
        <f>Q74+$F$2</f>
        <v>-20</v>
      </c>
      <c r="R77" s="11">
        <f>R74</f>
        <v>40</v>
      </c>
    </row>
    <row r="78" spans="17:19" x14ac:dyDescent="0.3">
      <c r="Q78" s="11">
        <f>Q74</f>
        <v>-30</v>
      </c>
      <c r="R78" s="11">
        <f>R74</f>
        <v>40</v>
      </c>
    </row>
    <row r="79" spans="17:19" x14ac:dyDescent="0.3">
      <c r="Q79" s="11" t="s">
        <v>16</v>
      </c>
      <c r="R79" s="11" t="s">
        <v>17</v>
      </c>
    </row>
    <row r="80" spans="17:19" x14ac:dyDescent="0.3">
      <c r="Q80" s="11">
        <v>-20</v>
      </c>
      <c r="R80" s="11">
        <v>40</v>
      </c>
      <c r="S80" s="11" t="b">
        <f>AND(Ballx&gt;=Q81,Ballx&lt;=Q82,Bally&gt;=R80,Bally&lt;=R81)</f>
        <v>0</v>
      </c>
    </row>
    <row r="81" spans="17:19" x14ac:dyDescent="0.3">
      <c r="Q81" s="11">
        <f>Q80</f>
        <v>-20</v>
      </c>
      <c r="R81" s="11">
        <f>R80+$G$2</f>
        <v>45</v>
      </c>
    </row>
    <row r="82" spans="17:19" x14ac:dyDescent="0.3">
      <c r="Q82" s="11">
        <f>Q80+$F$2</f>
        <v>-10</v>
      </c>
      <c r="R82" s="11">
        <f>R81</f>
        <v>45</v>
      </c>
    </row>
    <row r="83" spans="17:19" x14ac:dyDescent="0.3">
      <c r="Q83" s="11">
        <f>Q80+$F$2</f>
        <v>-10</v>
      </c>
      <c r="R83" s="11">
        <f>R80</f>
        <v>40</v>
      </c>
    </row>
    <row r="84" spans="17:19" x14ac:dyDescent="0.3">
      <c r="Q84" s="11">
        <f>Q80</f>
        <v>-20</v>
      </c>
      <c r="R84" s="11">
        <f>R80</f>
        <v>40</v>
      </c>
    </row>
    <row r="85" spans="17:19" x14ac:dyDescent="0.3">
      <c r="Q85" s="11" t="s">
        <v>16</v>
      </c>
      <c r="R85" s="11" t="s">
        <v>17</v>
      </c>
    </row>
    <row r="86" spans="17:19" x14ac:dyDescent="0.3">
      <c r="Q86" s="11">
        <v>-10</v>
      </c>
      <c r="R86" s="11">
        <v>40</v>
      </c>
      <c r="S86" s="11" t="b">
        <f>AND(Ballx&gt;=Q87,Ballx&lt;=Q88,Bally&gt;=R86,Bally&lt;=R87)</f>
        <v>0</v>
      </c>
    </row>
    <row r="87" spans="17:19" x14ac:dyDescent="0.3">
      <c r="Q87" s="11">
        <f>Q86</f>
        <v>-10</v>
      </c>
      <c r="R87" s="11">
        <f>R86+$G$2</f>
        <v>45</v>
      </c>
    </row>
    <row r="88" spans="17:19" x14ac:dyDescent="0.3">
      <c r="Q88" s="11">
        <f>Q86+$F$2</f>
        <v>0</v>
      </c>
      <c r="R88" s="11">
        <f>R87</f>
        <v>45</v>
      </c>
    </row>
    <row r="89" spans="17:19" x14ac:dyDescent="0.3">
      <c r="Q89" s="11">
        <f>Q86+$F$2</f>
        <v>0</v>
      </c>
      <c r="R89" s="11">
        <f>R86</f>
        <v>40</v>
      </c>
    </row>
    <row r="90" spans="17:19" x14ac:dyDescent="0.3">
      <c r="Q90" s="11">
        <f>Q86</f>
        <v>-10</v>
      </c>
      <c r="R90" s="11">
        <f>R86</f>
        <v>40</v>
      </c>
    </row>
    <row r="91" spans="17:19" x14ac:dyDescent="0.3">
      <c r="Q91" s="11" t="s">
        <v>16</v>
      </c>
      <c r="R91" s="11" t="s">
        <v>17</v>
      </c>
    </row>
    <row r="92" spans="17:19" x14ac:dyDescent="0.3">
      <c r="Q92" s="11">
        <v>0</v>
      </c>
      <c r="R92" s="11">
        <v>40</v>
      </c>
      <c r="S92" s="11" t="b">
        <f>AND(Ballx&gt;=Q93,Ballx&lt;=Q94,Bally&gt;=R92,Bally&lt;=R93)</f>
        <v>0</v>
      </c>
    </row>
    <row r="93" spans="17:19" x14ac:dyDescent="0.3">
      <c r="Q93" s="11">
        <f>Q92</f>
        <v>0</v>
      </c>
      <c r="R93" s="11">
        <f>R92+$G$2</f>
        <v>45</v>
      </c>
    </row>
    <row r="94" spans="17:19" x14ac:dyDescent="0.3">
      <c r="Q94" s="11">
        <f>Q92+$F$2</f>
        <v>10</v>
      </c>
      <c r="R94" s="11">
        <f>R93</f>
        <v>45</v>
      </c>
    </row>
    <row r="95" spans="17:19" x14ac:dyDescent="0.3">
      <c r="Q95" s="11">
        <f>Q92+$F$2</f>
        <v>10</v>
      </c>
      <c r="R95" s="11">
        <f>R92</f>
        <v>40</v>
      </c>
    </row>
    <row r="96" spans="17:19" x14ac:dyDescent="0.3">
      <c r="Q96" s="11">
        <f>Q92</f>
        <v>0</v>
      </c>
      <c r="R96" s="11">
        <f>R92</f>
        <v>40</v>
      </c>
    </row>
    <row r="97" spans="17:19" x14ac:dyDescent="0.3">
      <c r="Q97" s="11" t="s">
        <v>16</v>
      </c>
      <c r="R97" s="11" t="s">
        <v>17</v>
      </c>
    </row>
    <row r="98" spans="17:19" x14ac:dyDescent="0.3">
      <c r="Q98" s="11">
        <v>10</v>
      </c>
      <c r="R98" s="11">
        <v>40</v>
      </c>
      <c r="S98" s="11" t="b">
        <f>AND(Ballx&gt;=Q99,Ballx&lt;=Q100,Bally&gt;=R98,Bally&lt;=R99)</f>
        <v>0</v>
      </c>
    </row>
    <row r="99" spans="17:19" x14ac:dyDescent="0.3">
      <c r="Q99" s="11">
        <f>Q98</f>
        <v>10</v>
      </c>
      <c r="R99" s="11">
        <f>R98+$G$2</f>
        <v>45</v>
      </c>
    </row>
    <row r="100" spans="17:19" x14ac:dyDescent="0.3">
      <c r="Q100" s="11">
        <f>Q98+$F$2</f>
        <v>20</v>
      </c>
      <c r="R100" s="11">
        <f>R99</f>
        <v>45</v>
      </c>
    </row>
    <row r="101" spans="17:19" x14ac:dyDescent="0.3">
      <c r="Q101" s="11">
        <f>Q98+$F$2</f>
        <v>20</v>
      </c>
      <c r="R101" s="11">
        <f>R98</f>
        <v>40</v>
      </c>
    </row>
    <row r="102" spans="17:19" x14ac:dyDescent="0.3">
      <c r="Q102" s="11">
        <f>Q98</f>
        <v>10</v>
      </c>
      <c r="R102" s="11">
        <f>R98</f>
        <v>40</v>
      </c>
    </row>
    <row r="103" spans="17:19" x14ac:dyDescent="0.3">
      <c r="Q103" s="11" t="s">
        <v>16</v>
      </c>
      <c r="R103" s="11" t="s">
        <v>17</v>
      </c>
    </row>
    <row r="104" spans="17:19" x14ac:dyDescent="0.3">
      <c r="Q104" s="11">
        <v>20</v>
      </c>
      <c r="R104" s="11">
        <v>40</v>
      </c>
      <c r="S104" s="11" t="b">
        <f>AND(Ballx&gt;=Q105,Ballx&lt;=Q106,Bally&gt;=R104,Bally&lt;=R105)</f>
        <v>0</v>
      </c>
    </row>
    <row r="105" spans="17:19" x14ac:dyDescent="0.3">
      <c r="Q105" s="11">
        <f>Q104</f>
        <v>20</v>
      </c>
      <c r="R105" s="11">
        <f>R104+$G$2</f>
        <v>45</v>
      </c>
    </row>
    <row r="106" spans="17:19" x14ac:dyDescent="0.3">
      <c r="Q106" s="11">
        <f>Q104+$F$2</f>
        <v>30</v>
      </c>
      <c r="R106" s="11">
        <f>R105</f>
        <v>45</v>
      </c>
    </row>
    <row r="107" spans="17:19" x14ac:dyDescent="0.3">
      <c r="Q107" s="11">
        <f>Q104+$F$2</f>
        <v>30</v>
      </c>
      <c r="R107" s="11">
        <f>R104</f>
        <v>40</v>
      </c>
    </row>
    <row r="108" spans="17:19" x14ac:dyDescent="0.3">
      <c r="Q108" s="11">
        <f>Q104</f>
        <v>20</v>
      </c>
      <c r="R108" s="11">
        <f>R104</f>
        <v>40</v>
      </c>
    </row>
    <row r="109" spans="17:19" x14ac:dyDescent="0.3">
      <c r="Q109" s="11" t="s">
        <v>16</v>
      </c>
      <c r="R109" s="11" t="s">
        <v>17</v>
      </c>
    </row>
    <row r="110" spans="17:19" x14ac:dyDescent="0.3">
      <c r="Q110" s="11">
        <v>30</v>
      </c>
      <c r="R110" s="11">
        <v>40</v>
      </c>
      <c r="S110" s="11" t="b">
        <f>AND(Ballx&gt;=Q111,Ballx&lt;=Q112,Bally&gt;=R110,Bally&lt;=R111)</f>
        <v>0</v>
      </c>
    </row>
    <row r="111" spans="17:19" x14ac:dyDescent="0.3">
      <c r="Q111" s="11">
        <f>Q110</f>
        <v>30</v>
      </c>
      <c r="R111" s="11">
        <f>R110+$G$2</f>
        <v>45</v>
      </c>
    </row>
    <row r="112" spans="17:19" x14ac:dyDescent="0.3">
      <c r="Q112" s="11">
        <f>Q110+$F$2</f>
        <v>40</v>
      </c>
      <c r="R112" s="11">
        <f>R111</f>
        <v>45</v>
      </c>
    </row>
    <row r="113" spans="17:19" x14ac:dyDescent="0.3">
      <c r="Q113" s="11">
        <f>Q110+$F$2</f>
        <v>40</v>
      </c>
      <c r="R113" s="11">
        <f>R110</f>
        <v>40</v>
      </c>
    </row>
    <row r="114" spans="17:19" x14ac:dyDescent="0.3">
      <c r="Q114" s="11">
        <f>Q110</f>
        <v>30</v>
      </c>
      <c r="R114" s="11">
        <f>R110</f>
        <v>40</v>
      </c>
    </row>
    <row r="115" spans="17:19" x14ac:dyDescent="0.3">
      <c r="Q115" s="11" t="s">
        <v>16</v>
      </c>
      <c r="R115" s="11" t="s">
        <v>17</v>
      </c>
    </row>
    <row r="116" spans="17:19" x14ac:dyDescent="0.3">
      <c r="Q116" s="11">
        <v>40</v>
      </c>
      <c r="R116" s="11">
        <v>40</v>
      </c>
      <c r="S116" s="11" t="b">
        <f>AND(Ballx&gt;=Q117,Ballx&lt;=Q118,Bally&gt;=R116,Bally&lt;=R117)</f>
        <v>0</v>
      </c>
    </row>
    <row r="117" spans="17:19" x14ac:dyDescent="0.3">
      <c r="Q117" s="11">
        <f>Q116</f>
        <v>40</v>
      </c>
      <c r="R117" s="11">
        <f>R116+$G$2</f>
        <v>45</v>
      </c>
    </row>
    <row r="118" spans="17:19" x14ac:dyDescent="0.3">
      <c r="Q118" s="11">
        <f>Q116+$F$2</f>
        <v>50</v>
      </c>
      <c r="R118" s="11">
        <f>R117</f>
        <v>45</v>
      </c>
    </row>
    <row r="119" spans="17:19" x14ac:dyDescent="0.3">
      <c r="Q119" s="11">
        <f>Q116+$F$2</f>
        <v>50</v>
      </c>
      <c r="R119" s="11">
        <f>R116</f>
        <v>40</v>
      </c>
    </row>
    <row r="120" spans="17:19" x14ac:dyDescent="0.3">
      <c r="Q120" s="11">
        <f>Q116</f>
        <v>40</v>
      </c>
      <c r="R120" s="11">
        <f>R116</f>
        <v>40</v>
      </c>
    </row>
    <row r="121" spans="17:19" x14ac:dyDescent="0.3">
      <c r="Q121" s="11" t="s">
        <v>16</v>
      </c>
      <c r="R121" s="11" t="s">
        <v>17</v>
      </c>
    </row>
    <row r="122" spans="17:19" x14ac:dyDescent="0.3">
      <c r="Q122" s="11">
        <v>-50</v>
      </c>
      <c r="R122" s="11">
        <v>35</v>
      </c>
      <c r="S122" s="11" t="b">
        <f>AND(Ballx&gt;=Q123,Ballx&lt;=Q124,Bally&gt;=R122,Bally&lt;=R123)</f>
        <v>0</v>
      </c>
    </row>
    <row r="123" spans="17:19" x14ac:dyDescent="0.3">
      <c r="Q123" s="11">
        <f>Q122</f>
        <v>-50</v>
      </c>
      <c r="R123" s="11">
        <f>R122+$G$2</f>
        <v>40</v>
      </c>
    </row>
    <row r="124" spans="17:19" x14ac:dyDescent="0.3">
      <c r="Q124" s="11">
        <f>Q122+$F$2</f>
        <v>-40</v>
      </c>
      <c r="R124" s="11">
        <f>R123</f>
        <v>40</v>
      </c>
    </row>
    <row r="125" spans="17:19" x14ac:dyDescent="0.3">
      <c r="Q125" s="11">
        <f>Q122+$F$2</f>
        <v>-40</v>
      </c>
      <c r="R125" s="11">
        <f>R122</f>
        <v>35</v>
      </c>
    </row>
    <row r="126" spans="17:19" x14ac:dyDescent="0.3">
      <c r="Q126" s="11">
        <f>Q122</f>
        <v>-50</v>
      </c>
      <c r="R126" s="11">
        <f>R122</f>
        <v>35</v>
      </c>
    </row>
    <row r="127" spans="17:19" x14ac:dyDescent="0.3">
      <c r="Q127" s="11" t="s">
        <v>16</v>
      </c>
      <c r="R127" s="11" t="s">
        <v>17</v>
      </c>
    </row>
    <row r="128" spans="17:19" x14ac:dyDescent="0.3">
      <c r="Q128" s="11">
        <v>-40</v>
      </c>
      <c r="R128" s="11">
        <v>35</v>
      </c>
      <c r="S128" s="11" t="b">
        <f>AND(Ballx&gt;=Q129,Ballx&lt;=Q130,Bally&gt;=R128,Bally&lt;=R129)</f>
        <v>0</v>
      </c>
    </row>
    <row r="129" spans="17:19" x14ac:dyDescent="0.3">
      <c r="Q129" s="11">
        <f>Q128</f>
        <v>-40</v>
      </c>
      <c r="R129" s="11">
        <f>R128+$G$2</f>
        <v>40</v>
      </c>
    </row>
    <row r="130" spans="17:19" x14ac:dyDescent="0.3">
      <c r="Q130" s="11">
        <f>Q128+$F$2</f>
        <v>-30</v>
      </c>
      <c r="R130" s="11">
        <f>R129</f>
        <v>40</v>
      </c>
    </row>
    <row r="131" spans="17:19" x14ac:dyDescent="0.3">
      <c r="Q131" s="11">
        <f>Q128+$F$2</f>
        <v>-30</v>
      </c>
      <c r="R131" s="11">
        <f>R128</f>
        <v>35</v>
      </c>
    </row>
    <row r="132" spans="17:19" x14ac:dyDescent="0.3">
      <c r="Q132" s="11">
        <f>Q128</f>
        <v>-40</v>
      </c>
      <c r="R132" s="11">
        <f>R128</f>
        <v>35</v>
      </c>
    </row>
    <row r="133" spans="17:19" x14ac:dyDescent="0.3">
      <c r="Q133" s="11" t="s">
        <v>16</v>
      </c>
      <c r="R133" s="11" t="s">
        <v>17</v>
      </c>
    </row>
    <row r="134" spans="17:19" x14ac:dyDescent="0.3">
      <c r="Q134" s="11">
        <v>-30</v>
      </c>
      <c r="R134" s="11">
        <v>35</v>
      </c>
      <c r="S134" s="11" t="b">
        <f>AND(Ballx&gt;=Q135,Ballx&lt;=Q136,Bally&gt;=R134,Bally&lt;=R135)</f>
        <v>0</v>
      </c>
    </row>
    <row r="135" spans="17:19" x14ac:dyDescent="0.3">
      <c r="Q135" s="11">
        <f>Q134</f>
        <v>-30</v>
      </c>
      <c r="R135" s="11">
        <f>R134+$G$2</f>
        <v>40</v>
      </c>
    </row>
    <row r="136" spans="17:19" x14ac:dyDescent="0.3">
      <c r="Q136" s="11">
        <f>Q134+$F$2</f>
        <v>-20</v>
      </c>
      <c r="R136" s="11">
        <f>R135</f>
        <v>40</v>
      </c>
    </row>
    <row r="137" spans="17:19" x14ac:dyDescent="0.3">
      <c r="Q137" s="11">
        <f>Q134+$F$2</f>
        <v>-20</v>
      </c>
      <c r="R137" s="11">
        <f>R134</f>
        <v>35</v>
      </c>
    </row>
    <row r="138" spans="17:19" x14ac:dyDescent="0.3">
      <c r="Q138" s="11">
        <f>Q134</f>
        <v>-30</v>
      </c>
      <c r="R138" s="11">
        <f>R134</f>
        <v>35</v>
      </c>
    </row>
    <row r="139" spans="17:19" x14ac:dyDescent="0.3">
      <c r="Q139" s="11" t="s">
        <v>16</v>
      </c>
      <c r="R139" s="11" t="s">
        <v>17</v>
      </c>
    </row>
    <row r="140" spans="17:19" x14ac:dyDescent="0.3">
      <c r="Q140" s="11">
        <v>-20</v>
      </c>
      <c r="R140" s="11">
        <v>35</v>
      </c>
      <c r="S140" s="11" t="b">
        <f>AND(Ballx&gt;=Q141,Ballx&lt;=Q142,Bally&gt;=R140,Bally&lt;=R141)</f>
        <v>0</v>
      </c>
    </row>
    <row r="141" spans="17:19" x14ac:dyDescent="0.3">
      <c r="Q141" s="11">
        <f>Q140</f>
        <v>-20</v>
      </c>
      <c r="R141" s="11">
        <f>R140+$G$2</f>
        <v>40</v>
      </c>
    </row>
    <row r="142" spans="17:19" x14ac:dyDescent="0.3">
      <c r="Q142" s="11">
        <f>Q140+$F$2</f>
        <v>-10</v>
      </c>
      <c r="R142" s="11">
        <f>R141</f>
        <v>40</v>
      </c>
    </row>
    <row r="143" spans="17:19" x14ac:dyDescent="0.3">
      <c r="Q143" s="11">
        <f>Q140+$F$2</f>
        <v>-10</v>
      </c>
      <c r="R143" s="11">
        <f>R140</f>
        <v>35</v>
      </c>
    </row>
    <row r="144" spans="17:19" x14ac:dyDescent="0.3">
      <c r="Q144" s="11">
        <f>Q140</f>
        <v>-20</v>
      </c>
      <c r="R144" s="11">
        <f>R140</f>
        <v>35</v>
      </c>
    </row>
    <row r="145" spans="17:19" x14ac:dyDescent="0.3">
      <c r="Q145" s="11" t="s">
        <v>16</v>
      </c>
      <c r="R145" s="11" t="s">
        <v>17</v>
      </c>
    </row>
    <row r="146" spans="17:19" x14ac:dyDescent="0.3">
      <c r="Q146" s="11">
        <v>-10</v>
      </c>
      <c r="R146" s="11">
        <v>35</v>
      </c>
      <c r="S146" s="11" t="b">
        <f>AND(Ballx&gt;=Q147,Ballx&lt;=Q148,Bally&gt;=R146,Bally&lt;=R147)</f>
        <v>0</v>
      </c>
    </row>
    <row r="147" spans="17:19" x14ac:dyDescent="0.3">
      <c r="Q147" s="11">
        <f>Q146</f>
        <v>-10</v>
      </c>
      <c r="R147" s="11">
        <f>R146+$G$2</f>
        <v>40</v>
      </c>
    </row>
    <row r="148" spans="17:19" x14ac:dyDescent="0.3">
      <c r="Q148" s="11">
        <f>Q146+$F$2</f>
        <v>0</v>
      </c>
      <c r="R148" s="11">
        <f>R147</f>
        <v>40</v>
      </c>
    </row>
    <row r="149" spans="17:19" x14ac:dyDescent="0.3">
      <c r="Q149" s="11">
        <f>Q146+$F$2</f>
        <v>0</v>
      </c>
      <c r="R149" s="11">
        <f>R146</f>
        <v>35</v>
      </c>
    </row>
    <row r="150" spans="17:19" x14ac:dyDescent="0.3">
      <c r="Q150" s="11">
        <f>Q146</f>
        <v>-10</v>
      </c>
      <c r="R150" s="11">
        <f>R146</f>
        <v>35</v>
      </c>
    </row>
    <row r="151" spans="17:19" x14ac:dyDescent="0.3">
      <c r="Q151" s="11" t="s">
        <v>16</v>
      </c>
      <c r="R151" s="11" t="s">
        <v>17</v>
      </c>
    </row>
    <row r="152" spans="17:19" x14ac:dyDescent="0.3">
      <c r="Q152" s="11">
        <v>0</v>
      </c>
      <c r="R152" s="11">
        <v>35</v>
      </c>
      <c r="S152" s="11" t="b">
        <f>AND(Ballx&gt;=Q153,Ballx&lt;=Q154,Bally&gt;=R152,Bally&lt;=R153)</f>
        <v>0</v>
      </c>
    </row>
    <row r="153" spans="17:19" x14ac:dyDescent="0.3">
      <c r="Q153" s="11">
        <f>Q152</f>
        <v>0</v>
      </c>
      <c r="R153" s="11">
        <f>R152+$G$2</f>
        <v>40</v>
      </c>
    </row>
    <row r="154" spans="17:19" x14ac:dyDescent="0.3">
      <c r="Q154" s="11">
        <f>Q152+$F$2</f>
        <v>10</v>
      </c>
      <c r="R154" s="11">
        <f>R153</f>
        <v>40</v>
      </c>
    </row>
    <row r="155" spans="17:19" x14ac:dyDescent="0.3">
      <c r="Q155" s="11">
        <f>Q152+$F$2</f>
        <v>10</v>
      </c>
      <c r="R155" s="11">
        <f>R152</f>
        <v>35</v>
      </c>
    </row>
    <row r="156" spans="17:19" x14ac:dyDescent="0.3">
      <c r="Q156" s="11">
        <f>Q152</f>
        <v>0</v>
      </c>
      <c r="R156" s="11">
        <f>R152</f>
        <v>35</v>
      </c>
    </row>
    <row r="157" spans="17:19" x14ac:dyDescent="0.3">
      <c r="Q157" s="11" t="s">
        <v>16</v>
      </c>
      <c r="R157" s="11" t="s">
        <v>17</v>
      </c>
    </row>
    <row r="158" spans="17:19" x14ac:dyDescent="0.3">
      <c r="Q158" s="11">
        <v>10</v>
      </c>
      <c r="R158" s="11">
        <v>35</v>
      </c>
      <c r="S158" s="11" t="b">
        <f>AND(Ballx&gt;=Q159,Ballx&lt;=Q160,Bally&gt;=R158,Bally&lt;=R159)</f>
        <v>0</v>
      </c>
    </row>
    <row r="159" spans="17:19" x14ac:dyDescent="0.3">
      <c r="Q159" s="11">
        <f>Q158</f>
        <v>10</v>
      </c>
      <c r="R159" s="11">
        <f>R158+$G$2</f>
        <v>40</v>
      </c>
    </row>
    <row r="160" spans="17:19" x14ac:dyDescent="0.3">
      <c r="Q160" s="11">
        <f>Q158+$F$2</f>
        <v>20</v>
      </c>
      <c r="R160" s="11">
        <f>R159</f>
        <v>40</v>
      </c>
    </row>
    <row r="161" spans="17:19" x14ac:dyDescent="0.3">
      <c r="Q161" s="11">
        <f>Q158+$F$2</f>
        <v>20</v>
      </c>
      <c r="R161" s="11">
        <f>R158</f>
        <v>35</v>
      </c>
    </row>
    <row r="162" spans="17:19" x14ac:dyDescent="0.3">
      <c r="Q162" s="11">
        <f>Q158</f>
        <v>10</v>
      </c>
      <c r="R162" s="11">
        <f>R158</f>
        <v>35</v>
      </c>
    </row>
    <row r="163" spans="17:19" x14ac:dyDescent="0.3">
      <c r="Q163" s="11" t="s">
        <v>16</v>
      </c>
      <c r="R163" s="11" t="s">
        <v>17</v>
      </c>
    </row>
    <row r="164" spans="17:19" x14ac:dyDescent="0.3">
      <c r="Q164" s="11">
        <v>20</v>
      </c>
      <c r="R164" s="11">
        <v>35</v>
      </c>
      <c r="S164" s="11" t="b">
        <f>AND(Ballx&gt;=Q165,Ballx&lt;=Q166,Bally&gt;=R164,Bally&lt;=R165)</f>
        <v>0</v>
      </c>
    </row>
    <row r="165" spans="17:19" x14ac:dyDescent="0.3">
      <c r="Q165" s="11">
        <f>Q164</f>
        <v>20</v>
      </c>
      <c r="R165" s="11">
        <f>R164+$G$2</f>
        <v>40</v>
      </c>
    </row>
    <row r="166" spans="17:19" x14ac:dyDescent="0.3">
      <c r="Q166" s="11">
        <f>Q164+$F$2</f>
        <v>30</v>
      </c>
      <c r="R166" s="11">
        <f>R165</f>
        <v>40</v>
      </c>
    </row>
    <row r="167" spans="17:19" x14ac:dyDescent="0.3">
      <c r="Q167" s="11">
        <f>Q164+$F$2</f>
        <v>30</v>
      </c>
      <c r="R167" s="11">
        <f>R164</f>
        <v>35</v>
      </c>
    </row>
    <row r="168" spans="17:19" x14ac:dyDescent="0.3">
      <c r="Q168" s="11">
        <f>Q164</f>
        <v>20</v>
      </c>
      <c r="R168" s="11">
        <f>R164</f>
        <v>35</v>
      </c>
    </row>
    <row r="169" spans="17:19" x14ac:dyDescent="0.3">
      <c r="Q169" s="11" t="s">
        <v>16</v>
      </c>
      <c r="R169" s="11" t="s">
        <v>17</v>
      </c>
    </row>
    <row r="170" spans="17:19" x14ac:dyDescent="0.3">
      <c r="Q170" s="11">
        <v>30</v>
      </c>
      <c r="R170" s="11">
        <v>35</v>
      </c>
      <c r="S170" s="11" t="b">
        <f>AND(Ballx&gt;=Q171,Ballx&lt;=Q172,Bally&gt;=R170,Bally&lt;=R171)</f>
        <v>0</v>
      </c>
    </row>
    <row r="171" spans="17:19" x14ac:dyDescent="0.3">
      <c r="Q171" s="11">
        <f>Q170</f>
        <v>30</v>
      </c>
      <c r="R171" s="11">
        <f>R170+$G$2</f>
        <v>40</v>
      </c>
    </row>
    <row r="172" spans="17:19" x14ac:dyDescent="0.3">
      <c r="Q172" s="11">
        <f>Q170+$F$2</f>
        <v>40</v>
      </c>
      <c r="R172" s="11">
        <f>R171</f>
        <v>40</v>
      </c>
    </row>
    <row r="173" spans="17:19" x14ac:dyDescent="0.3">
      <c r="Q173" s="11">
        <f>Q170+$F$2</f>
        <v>40</v>
      </c>
      <c r="R173" s="11">
        <f>R170</f>
        <v>35</v>
      </c>
    </row>
    <row r="174" spans="17:19" x14ac:dyDescent="0.3">
      <c r="Q174" s="11">
        <f>Q170</f>
        <v>30</v>
      </c>
      <c r="R174" s="11">
        <f>R170</f>
        <v>35</v>
      </c>
    </row>
    <row r="175" spans="17:19" x14ac:dyDescent="0.3">
      <c r="Q175" s="11" t="s">
        <v>16</v>
      </c>
      <c r="R175" s="11" t="s">
        <v>17</v>
      </c>
    </row>
    <row r="176" spans="17:19" x14ac:dyDescent="0.3">
      <c r="Q176" s="11">
        <v>40</v>
      </c>
      <c r="R176" s="11">
        <v>35</v>
      </c>
      <c r="S176" s="11" t="b">
        <f>AND(Ballx&gt;=Q177,Ballx&lt;=Q178,Bally&gt;=R176,Bally&lt;=R177)</f>
        <v>0</v>
      </c>
    </row>
    <row r="177" spans="17:19" x14ac:dyDescent="0.3">
      <c r="Q177" s="11">
        <f>Q176</f>
        <v>40</v>
      </c>
      <c r="R177" s="11">
        <f>R176+$G$2</f>
        <v>40</v>
      </c>
    </row>
    <row r="178" spans="17:19" x14ac:dyDescent="0.3">
      <c r="Q178" s="11">
        <f>Q176+$F$2</f>
        <v>50</v>
      </c>
      <c r="R178" s="11">
        <f>R177</f>
        <v>40</v>
      </c>
    </row>
    <row r="179" spans="17:19" x14ac:dyDescent="0.3">
      <c r="Q179" s="11">
        <f>Q176+$F$2</f>
        <v>50</v>
      </c>
      <c r="R179" s="11">
        <f>R176</f>
        <v>35</v>
      </c>
    </row>
    <row r="180" spans="17:19" x14ac:dyDescent="0.3">
      <c r="Q180" s="11">
        <f>Q176</f>
        <v>40</v>
      </c>
      <c r="R180" s="11">
        <f>R176</f>
        <v>35</v>
      </c>
    </row>
    <row r="181" spans="17:19" x14ac:dyDescent="0.3">
      <c r="Q181" s="11" t="s">
        <v>16</v>
      </c>
      <c r="R181" s="11" t="s">
        <v>17</v>
      </c>
    </row>
    <row r="182" spans="17:19" x14ac:dyDescent="0.3">
      <c r="Q182" s="11">
        <v>-50</v>
      </c>
      <c r="R182" s="11">
        <v>30</v>
      </c>
      <c r="S182" s="11" t="b">
        <f>AND(Ballx&gt;=Q183,Ballx&lt;=Q184,Bally&gt;=R182,Bally&lt;=R183)</f>
        <v>0</v>
      </c>
    </row>
    <row r="183" spans="17:19" x14ac:dyDescent="0.3">
      <c r="Q183" s="11">
        <f>Q182</f>
        <v>-50</v>
      </c>
      <c r="R183" s="11">
        <f>R182+$G$2</f>
        <v>35</v>
      </c>
    </row>
    <row r="184" spans="17:19" x14ac:dyDescent="0.3">
      <c r="Q184" s="11">
        <f>Q182+$F$2</f>
        <v>-40</v>
      </c>
      <c r="R184" s="11">
        <f>R183</f>
        <v>35</v>
      </c>
    </row>
    <row r="185" spans="17:19" x14ac:dyDescent="0.3">
      <c r="Q185" s="11">
        <f>Q182+$F$2</f>
        <v>-40</v>
      </c>
      <c r="R185" s="11">
        <f>R182</f>
        <v>30</v>
      </c>
    </row>
    <row r="186" spans="17:19" x14ac:dyDescent="0.3">
      <c r="Q186" s="11">
        <f>Q182</f>
        <v>-50</v>
      </c>
      <c r="R186" s="11">
        <f>R182</f>
        <v>30</v>
      </c>
    </row>
    <row r="187" spans="17:19" x14ac:dyDescent="0.3">
      <c r="Q187" s="11" t="s">
        <v>16</v>
      </c>
      <c r="R187" s="11" t="s">
        <v>17</v>
      </c>
    </row>
    <row r="188" spans="17:19" x14ac:dyDescent="0.3">
      <c r="Q188" s="11">
        <v>-40</v>
      </c>
      <c r="R188" s="11">
        <v>30</v>
      </c>
      <c r="S188" s="11" t="b">
        <f>AND(Ballx&gt;=Q189,Ballx&lt;=Q190,Bally&gt;=R188,Bally&lt;=R189)</f>
        <v>0</v>
      </c>
    </row>
    <row r="189" spans="17:19" x14ac:dyDescent="0.3">
      <c r="Q189" s="11">
        <f>Q188</f>
        <v>-40</v>
      </c>
      <c r="R189" s="11">
        <f>R188+$G$2</f>
        <v>35</v>
      </c>
    </row>
    <row r="190" spans="17:19" x14ac:dyDescent="0.3">
      <c r="Q190" s="11">
        <f>Q188+$F$2</f>
        <v>-30</v>
      </c>
      <c r="R190" s="11">
        <f>R189</f>
        <v>35</v>
      </c>
    </row>
    <row r="191" spans="17:19" x14ac:dyDescent="0.3">
      <c r="Q191" s="11">
        <f>Q188+$F$2</f>
        <v>-30</v>
      </c>
      <c r="R191" s="11">
        <f>R188</f>
        <v>30</v>
      </c>
    </row>
    <row r="192" spans="17:19" x14ac:dyDescent="0.3">
      <c r="Q192" s="11">
        <f>Q188</f>
        <v>-40</v>
      </c>
      <c r="R192" s="11">
        <f>R188</f>
        <v>30</v>
      </c>
    </row>
    <row r="193" spans="17:19" x14ac:dyDescent="0.3">
      <c r="Q193" s="11" t="s">
        <v>16</v>
      </c>
      <c r="R193" s="11" t="s">
        <v>17</v>
      </c>
    </row>
    <row r="194" spans="17:19" x14ac:dyDescent="0.3">
      <c r="Q194" s="11">
        <v>-30</v>
      </c>
      <c r="R194" s="11">
        <v>30</v>
      </c>
      <c r="S194" s="11" t="b">
        <f>AND(Ballx&gt;=Q195,Ballx&lt;=Q196,Bally&gt;=R194,Bally&lt;=R195)</f>
        <v>0</v>
      </c>
    </row>
    <row r="195" spans="17:19" x14ac:dyDescent="0.3">
      <c r="Q195" s="11">
        <f>Q194</f>
        <v>-30</v>
      </c>
      <c r="R195" s="11">
        <f>R194+$G$2</f>
        <v>35</v>
      </c>
    </row>
    <row r="196" spans="17:19" x14ac:dyDescent="0.3">
      <c r="Q196" s="11">
        <f>Q194+$F$2</f>
        <v>-20</v>
      </c>
      <c r="R196" s="11">
        <f>R195</f>
        <v>35</v>
      </c>
    </row>
    <row r="197" spans="17:19" x14ac:dyDescent="0.3">
      <c r="Q197" s="11">
        <f>Q194+$F$2</f>
        <v>-20</v>
      </c>
      <c r="R197" s="11">
        <f>R194</f>
        <v>30</v>
      </c>
    </row>
    <row r="198" spans="17:19" x14ac:dyDescent="0.3">
      <c r="Q198" s="11">
        <f>Q194</f>
        <v>-30</v>
      </c>
      <c r="R198" s="11">
        <f>R194</f>
        <v>30</v>
      </c>
    </row>
    <row r="199" spans="17:19" x14ac:dyDescent="0.3">
      <c r="Q199" s="11" t="s">
        <v>16</v>
      </c>
      <c r="R199" s="11" t="s">
        <v>17</v>
      </c>
    </row>
    <row r="200" spans="17:19" x14ac:dyDescent="0.3">
      <c r="Q200" s="11">
        <v>-20</v>
      </c>
      <c r="R200" s="11">
        <v>30</v>
      </c>
      <c r="S200" s="11" t="b">
        <f>AND(Ballx&gt;=Q201,Ballx&lt;=Q202,Bally&gt;=R200,Bally&lt;=R201)</f>
        <v>0</v>
      </c>
    </row>
    <row r="201" spans="17:19" x14ac:dyDescent="0.3">
      <c r="Q201" s="11">
        <f>Q200</f>
        <v>-20</v>
      </c>
      <c r="R201" s="11">
        <f>R200+$G$2</f>
        <v>35</v>
      </c>
    </row>
    <row r="202" spans="17:19" x14ac:dyDescent="0.3">
      <c r="Q202" s="11">
        <f>Q200+$F$2</f>
        <v>-10</v>
      </c>
      <c r="R202" s="11">
        <f>R201</f>
        <v>35</v>
      </c>
    </row>
    <row r="203" spans="17:19" x14ac:dyDescent="0.3">
      <c r="Q203" s="11">
        <f>Q200+$F$2</f>
        <v>-10</v>
      </c>
      <c r="R203" s="11">
        <f>R200</f>
        <v>30</v>
      </c>
    </row>
    <row r="204" spans="17:19" x14ac:dyDescent="0.3">
      <c r="Q204" s="11">
        <f>Q200</f>
        <v>-20</v>
      </c>
      <c r="R204" s="11">
        <f>R200</f>
        <v>30</v>
      </c>
    </row>
    <row r="205" spans="17:19" x14ac:dyDescent="0.3">
      <c r="Q205" s="11" t="s">
        <v>16</v>
      </c>
      <c r="R205" s="11" t="s">
        <v>17</v>
      </c>
    </row>
    <row r="206" spans="17:19" x14ac:dyDescent="0.3">
      <c r="Q206" s="11">
        <v>-10</v>
      </c>
      <c r="R206" s="11">
        <v>30</v>
      </c>
      <c r="S206" s="11" t="b">
        <f>AND(Ballx&gt;=Q207,Ballx&lt;=Q208,Bally&gt;=R206,Bally&lt;=R207)</f>
        <v>0</v>
      </c>
    </row>
    <row r="207" spans="17:19" x14ac:dyDescent="0.3">
      <c r="Q207" s="11">
        <f>Q206</f>
        <v>-10</v>
      </c>
      <c r="R207" s="11">
        <f>R206+$G$2</f>
        <v>35</v>
      </c>
    </row>
    <row r="208" spans="17:19" x14ac:dyDescent="0.3">
      <c r="Q208" s="11">
        <f>Q206+$F$2</f>
        <v>0</v>
      </c>
      <c r="R208" s="11">
        <f>R207</f>
        <v>35</v>
      </c>
    </row>
    <row r="209" spans="17:19" x14ac:dyDescent="0.3">
      <c r="Q209" s="11">
        <f>Q206+$F$2</f>
        <v>0</v>
      </c>
      <c r="R209" s="11">
        <f>R206</f>
        <v>30</v>
      </c>
    </row>
    <row r="210" spans="17:19" x14ac:dyDescent="0.3">
      <c r="Q210" s="11">
        <f>Q206</f>
        <v>-10</v>
      </c>
      <c r="R210" s="11">
        <f>R206</f>
        <v>30</v>
      </c>
    </row>
    <row r="211" spans="17:19" x14ac:dyDescent="0.3">
      <c r="Q211" s="11" t="s">
        <v>16</v>
      </c>
      <c r="R211" s="11" t="s">
        <v>17</v>
      </c>
    </row>
    <row r="212" spans="17:19" x14ac:dyDescent="0.3">
      <c r="Q212" s="11">
        <v>0</v>
      </c>
      <c r="R212" s="11">
        <v>30</v>
      </c>
      <c r="S212" s="11" t="b">
        <f>AND(Ballx&gt;=Q213,Ballx&lt;=Q214,Bally&gt;=R212,Bally&lt;=R213)</f>
        <v>0</v>
      </c>
    </row>
    <row r="213" spans="17:19" x14ac:dyDescent="0.3">
      <c r="Q213" s="11">
        <f>Q212</f>
        <v>0</v>
      </c>
      <c r="R213" s="11">
        <f>R212+$G$2</f>
        <v>35</v>
      </c>
    </row>
    <row r="214" spans="17:19" x14ac:dyDescent="0.3">
      <c r="Q214" s="11">
        <f>Q212+$F$2</f>
        <v>10</v>
      </c>
      <c r="R214" s="11">
        <f>R213</f>
        <v>35</v>
      </c>
    </row>
    <row r="215" spans="17:19" x14ac:dyDescent="0.3">
      <c r="Q215" s="11">
        <f>Q212+$F$2</f>
        <v>10</v>
      </c>
      <c r="R215" s="11">
        <f>R212</f>
        <v>30</v>
      </c>
    </row>
    <row r="216" spans="17:19" x14ac:dyDescent="0.3">
      <c r="Q216" s="11">
        <f>Q212</f>
        <v>0</v>
      </c>
      <c r="R216" s="11">
        <f>R212</f>
        <v>30</v>
      </c>
    </row>
    <row r="217" spans="17:19" x14ac:dyDescent="0.3">
      <c r="Q217" s="11" t="s">
        <v>16</v>
      </c>
      <c r="R217" s="11" t="s">
        <v>17</v>
      </c>
    </row>
    <row r="218" spans="17:19" x14ac:dyDescent="0.3">
      <c r="Q218" s="11">
        <v>10</v>
      </c>
      <c r="R218" s="11">
        <v>30</v>
      </c>
      <c r="S218" s="11" t="b">
        <f>AND(Ballx&gt;=Q219,Ballx&lt;=Q220,Bally&gt;=R218,Bally&lt;=R219)</f>
        <v>0</v>
      </c>
    </row>
    <row r="219" spans="17:19" x14ac:dyDescent="0.3">
      <c r="Q219" s="11">
        <f>Q218</f>
        <v>10</v>
      </c>
      <c r="R219" s="11">
        <f>R218+$G$2</f>
        <v>35</v>
      </c>
    </row>
    <row r="220" spans="17:19" x14ac:dyDescent="0.3">
      <c r="Q220" s="11">
        <f>Q218+$F$2</f>
        <v>20</v>
      </c>
      <c r="R220" s="11">
        <f>R219</f>
        <v>35</v>
      </c>
    </row>
    <row r="221" spans="17:19" x14ac:dyDescent="0.3">
      <c r="Q221" s="11">
        <f>Q218+$F$2</f>
        <v>20</v>
      </c>
      <c r="R221" s="11">
        <f>R218</f>
        <v>30</v>
      </c>
    </row>
    <row r="222" spans="17:19" x14ac:dyDescent="0.3">
      <c r="Q222" s="11">
        <f>Q218</f>
        <v>10</v>
      </c>
      <c r="R222" s="11">
        <f>R218</f>
        <v>30</v>
      </c>
    </row>
    <row r="223" spans="17:19" x14ac:dyDescent="0.3">
      <c r="Q223" s="11" t="s">
        <v>16</v>
      </c>
      <c r="R223" s="11" t="s">
        <v>17</v>
      </c>
    </row>
    <row r="224" spans="17:19" x14ac:dyDescent="0.3">
      <c r="Q224" s="11">
        <v>20</v>
      </c>
      <c r="R224" s="11">
        <v>30</v>
      </c>
      <c r="S224" s="11" t="b">
        <f>AND(Ballx&gt;=Q225,Ballx&lt;=Q226,Bally&gt;=R224,Bally&lt;=R225)</f>
        <v>0</v>
      </c>
    </row>
    <row r="225" spans="17:19" x14ac:dyDescent="0.3">
      <c r="Q225" s="11">
        <f>Q224</f>
        <v>20</v>
      </c>
      <c r="R225" s="11">
        <f>R224+$G$2</f>
        <v>35</v>
      </c>
    </row>
    <row r="226" spans="17:19" x14ac:dyDescent="0.3">
      <c r="Q226" s="11">
        <f>Q224+$F$2</f>
        <v>30</v>
      </c>
      <c r="R226" s="11">
        <f>R225</f>
        <v>35</v>
      </c>
    </row>
    <row r="227" spans="17:19" x14ac:dyDescent="0.3">
      <c r="Q227" s="11">
        <f>Q224+$F$2</f>
        <v>30</v>
      </c>
      <c r="R227" s="11">
        <f>R224</f>
        <v>30</v>
      </c>
    </row>
    <row r="228" spans="17:19" x14ac:dyDescent="0.3">
      <c r="Q228" s="11">
        <f>Q224</f>
        <v>20</v>
      </c>
      <c r="R228" s="11">
        <f>R224</f>
        <v>30</v>
      </c>
    </row>
    <row r="229" spans="17:19" x14ac:dyDescent="0.3">
      <c r="Q229" s="11" t="s">
        <v>16</v>
      </c>
      <c r="R229" s="11" t="s">
        <v>17</v>
      </c>
    </row>
    <row r="230" spans="17:19" x14ac:dyDescent="0.3">
      <c r="Q230" s="11">
        <v>30</v>
      </c>
      <c r="R230" s="11">
        <v>30</v>
      </c>
      <c r="S230" s="11" t="b">
        <f>AND(Ballx&gt;=Q231,Ballx&lt;=Q232,Bally&gt;=R230,Bally&lt;=R231)</f>
        <v>0</v>
      </c>
    </row>
    <row r="231" spans="17:19" x14ac:dyDescent="0.3">
      <c r="Q231" s="11">
        <f>Q230</f>
        <v>30</v>
      </c>
      <c r="R231" s="11">
        <f>R230+$G$2</f>
        <v>35</v>
      </c>
    </row>
    <row r="232" spans="17:19" x14ac:dyDescent="0.3">
      <c r="Q232" s="11">
        <f>Q230+$F$2</f>
        <v>40</v>
      </c>
      <c r="R232" s="11">
        <f>R231</f>
        <v>35</v>
      </c>
    </row>
    <row r="233" spans="17:19" x14ac:dyDescent="0.3">
      <c r="Q233" s="11">
        <f>Q230+$F$2</f>
        <v>40</v>
      </c>
      <c r="R233" s="11">
        <f>R230</f>
        <v>30</v>
      </c>
    </row>
    <row r="234" spans="17:19" x14ac:dyDescent="0.3">
      <c r="Q234" s="11">
        <f>Q230</f>
        <v>30</v>
      </c>
      <c r="R234" s="11">
        <f>R230</f>
        <v>30</v>
      </c>
    </row>
    <row r="235" spans="17:19" x14ac:dyDescent="0.3">
      <c r="Q235" s="11" t="s">
        <v>16</v>
      </c>
      <c r="R235" s="11" t="s">
        <v>17</v>
      </c>
    </row>
    <row r="236" spans="17:19" x14ac:dyDescent="0.3">
      <c r="Q236" s="11">
        <v>40</v>
      </c>
      <c r="R236" s="11">
        <v>30</v>
      </c>
      <c r="S236" s="11" t="b">
        <f>AND(Ballx&gt;=Q237,Ballx&lt;=Q238,Bally&gt;=R236,Bally&lt;=R237)</f>
        <v>0</v>
      </c>
    </row>
    <row r="237" spans="17:19" x14ac:dyDescent="0.3">
      <c r="Q237" s="11">
        <f>Q236</f>
        <v>40</v>
      </c>
      <c r="R237" s="11">
        <f>R236+$G$2</f>
        <v>35</v>
      </c>
    </row>
    <row r="238" spans="17:19" x14ac:dyDescent="0.3">
      <c r="Q238" s="11">
        <f>Q236+$F$2</f>
        <v>50</v>
      </c>
      <c r="R238" s="11">
        <f>R237</f>
        <v>35</v>
      </c>
    </row>
    <row r="239" spans="17:19" x14ac:dyDescent="0.3">
      <c r="Q239" s="11">
        <f>Q236+$F$2</f>
        <v>50</v>
      </c>
      <c r="R239" s="11">
        <f>R236</f>
        <v>30</v>
      </c>
    </row>
    <row r="240" spans="17:19" x14ac:dyDescent="0.3">
      <c r="Q240" s="11">
        <f>Q236</f>
        <v>40</v>
      </c>
      <c r="R240" s="11">
        <f>R236</f>
        <v>30</v>
      </c>
    </row>
    <row r="241" spans="17:19" x14ac:dyDescent="0.3">
      <c r="Q241" s="11" t="s">
        <v>16</v>
      </c>
      <c r="R241" s="11" t="s">
        <v>17</v>
      </c>
    </row>
    <row r="242" spans="17:19" x14ac:dyDescent="0.3">
      <c r="Q242" s="11">
        <v>-50</v>
      </c>
      <c r="R242" s="11">
        <v>25</v>
      </c>
      <c r="S242" s="11" t="b">
        <f>AND(Ballx&gt;=Q243,Ballx&lt;=Q244,Bally&gt;=R242,Bally&lt;=R243)</f>
        <v>0</v>
      </c>
    </row>
    <row r="243" spans="17:19" x14ac:dyDescent="0.3">
      <c r="Q243" s="11">
        <f>Q242</f>
        <v>-50</v>
      </c>
      <c r="R243" s="11">
        <f>R242+$G$2</f>
        <v>30</v>
      </c>
    </row>
    <row r="244" spans="17:19" x14ac:dyDescent="0.3">
      <c r="Q244" s="11">
        <f>Q242+$F$2</f>
        <v>-40</v>
      </c>
      <c r="R244" s="11">
        <f>R243</f>
        <v>30</v>
      </c>
    </row>
    <row r="245" spans="17:19" x14ac:dyDescent="0.3">
      <c r="Q245" s="11">
        <f>Q242+$F$2</f>
        <v>-40</v>
      </c>
      <c r="R245" s="11">
        <f>R242</f>
        <v>25</v>
      </c>
    </row>
    <row r="246" spans="17:19" x14ac:dyDescent="0.3">
      <c r="Q246" s="11">
        <f>Q242</f>
        <v>-50</v>
      </c>
      <c r="R246" s="11">
        <f>R242</f>
        <v>25</v>
      </c>
    </row>
    <row r="247" spans="17:19" x14ac:dyDescent="0.3">
      <c r="Q247" s="11" t="s">
        <v>16</v>
      </c>
      <c r="R247" s="11" t="s">
        <v>17</v>
      </c>
    </row>
    <row r="248" spans="17:19" x14ac:dyDescent="0.3">
      <c r="Q248" s="11">
        <v>-40</v>
      </c>
      <c r="R248" s="11">
        <v>25</v>
      </c>
      <c r="S248" s="11" t="b">
        <f>AND(Ballx&gt;=Q249,Ballx&lt;=Q250,Bally&gt;=R248,Bally&lt;=R249)</f>
        <v>0</v>
      </c>
    </row>
    <row r="249" spans="17:19" x14ac:dyDescent="0.3">
      <c r="Q249" s="11">
        <f>Q248</f>
        <v>-40</v>
      </c>
      <c r="R249" s="11">
        <f>R248+$G$2</f>
        <v>30</v>
      </c>
    </row>
    <row r="250" spans="17:19" x14ac:dyDescent="0.3">
      <c r="Q250" s="11">
        <f>Q248+$F$2</f>
        <v>-30</v>
      </c>
      <c r="R250" s="11">
        <f>R249</f>
        <v>30</v>
      </c>
    </row>
    <row r="251" spans="17:19" x14ac:dyDescent="0.3">
      <c r="Q251" s="11">
        <f>Q248+$F$2</f>
        <v>-30</v>
      </c>
      <c r="R251" s="11">
        <f>R248</f>
        <v>25</v>
      </c>
    </row>
    <row r="252" spans="17:19" x14ac:dyDescent="0.3">
      <c r="Q252" s="11">
        <f>Q248</f>
        <v>-40</v>
      </c>
      <c r="R252" s="11">
        <f>R248</f>
        <v>25</v>
      </c>
    </row>
    <row r="253" spans="17:19" x14ac:dyDescent="0.3">
      <c r="Q253" s="11" t="s">
        <v>16</v>
      </c>
      <c r="R253" s="11" t="s">
        <v>17</v>
      </c>
    </row>
    <row r="254" spans="17:19" x14ac:dyDescent="0.3">
      <c r="Q254" s="11">
        <v>-30</v>
      </c>
      <c r="R254" s="11">
        <v>25</v>
      </c>
      <c r="S254" s="11" t="b">
        <f>AND(Ballx&gt;=Q255,Ballx&lt;=Q256,Bally&gt;=R254,Bally&lt;=R255)</f>
        <v>0</v>
      </c>
    </row>
    <row r="255" spans="17:19" x14ac:dyDescent="0.3">
      <c r="Q255" s="11">
        <f>Q254</f>
        <v>-30</v>
      </c>
      <c r="R255" s="11">
        <f>R254+$G$2</f>
        <v>30</v>
      </c>
    </row>
    <row r="256" spans="17:19" x14ac:dyDescent="0.3">
      <c r="Q256" s="11">
        <f>Q254+$F$2</f>
        <v>-20</v>
      </c>
      <c r="R256" s="11">
        <f>R255</f>
        <v>30</v>
      </c>
    </row>
    <row r="257" spans="17:19" x14ac:dyDescent="0.3">
      <c r="Q257" s="11">
        <f>Q254+$F$2</f>
        <v>-20</v>
      </c>
      <c r="R257" s="11">
        <f>R254</f>
        <v>25</v>
      </c>
    </row>
    <row r="258" spans="17:19" x14ac:dyDescent="0.3">
      <c r="Q258" s="11">
        <f>Q254</f>
        <v>-30</v>
      </c>
      <c r="R258" s="11">
        <f>R254</f>
        <v>25</v>
      </c>
    </row>
    <row r="259" spans="17:19" x14ac:dyDescent="0.3">
      <c r="Q259" s="11" t="s">
        <v>16</v>
      </c>
      <c r="R259" s="11" t="s">
        <v>17</v>
      </c>
    </row>
    <row r="260" spans="17:19" x14ac:dyDescent="0.3">
      <c r="Q260" s="11">
        <v>-20</v>
      </c>
      <c r="R260" s="11">
        <v>25</v>
      </c>
      <c r="S260" s="11" t="b">
        <f>AND(Ballx&gt;=Q261,Ballx&lt;=Q262,Bally&gt;=R260,Bally&lt;=R261)</f>
        <v>0</v>
      </c>
    </row>
    <row r="261" spans="17:19" x14ac:dyDescent="0.3">
      <c r="Q261" s="11">
        <f>Q260</f>
        <v>-20</v>
      </c>
      <c r="R261" s="11">
        <f>R260+$G$2</f>
        <v>30</v>
      </c>
    </row>
    <row r="262" spans="17:19" x14ac:dyDescent="0.3">
      <c r="Q262" s="11">
        <f>Q260+$F$2</f>
        <v>-10</v>
      </c>
      <c r="R262" s="11">
        <f>R261</f>
        <v>30</v>
      </c>
    </row>
    <row r="263" spans="17:19" x14ac:dyDescent="0.3">
      <c r="Q263" s="11">
        <f>Q260+$F$2</f>
        <v>-10</v>
      </c>
      <c r="R263" s="11">
        <f>R260</f>
        <v>25</v>
      </c>
    </row>
    <row r="264" spans="17:19" x14ac:dyDescent="0.3">
      <c r="Q264" s="11">
        <f>Q260</f>
        <v>-20</v>
      </c>
      <c r="R264" s="11">
        <f>R260</f>
        <v>25</v>
      </c>
    </row>
    <row r="265" spans="17:19" x14ac:dyDescent="0.3">
      <c r="Q265" s="11" t="s">
        <v>16</v>
      </c>
      <c r="R265" s="11" t="s">
        <v>17</v>
      </c>
    </row>
    <row r="266" spans="17:19" x14ac:dyDescent="0.3">
      <c r="Q266" s="11">
        <v>-10</v>
      </c>
      <c r="R266" s="11">
        <v>25</v>
      </c>
      <c r="S266" s="11" t="b">
        <f>AND(Ballx&gt;=Q267,Ballx&lt;=Q268,Bally&gt;=R266,Bally&lt;=R267)</f>
        <v>0</v>
      </c>
    </row>
    <row r="267" spans="17:19" x14ac:dyDescent="0.3">
      <c r="Q267" s="11">
        <f>Q266</f>
        <v>-10</v>
      </c>
      <c r="R267" s="11">
        <f>R266+$G$2</f>
        <v>30</v>
      </c>
    </row>
    <row r="268" spans="17:19" x14ac:dyDescent="0.3">
      <c r="Q268" s="11">
        <f>Q266+$F$2</f>
        <v>0</v>
      </c>
      <c r="R268" s="11">
        <f>R267</f>
        <v>30</v>
      </c>
    </row>
    <row r="269" spans="17:19" x14ac:dyDescent="0.3">
      <c r="Q269" s="11">
        <f>Q266+$F$2</f>
        <v>0</v>
      </c>
      <c r="R269" s="11">
        <f>R266</f>
        <v>25</v>
      </c>
    </row>
    <row r="270" spans="17:19" x14ac:dyDescent="0.3">
      <c r="Q270" s="11">
        <f>Q266</f>
        <v>-10</v>
      </c>
      <c r="R270" s="11">
        <f>R266</f>
        <v>25</v>
      </c>
    </row>
    <row r="271" spans="17:19" x14ac:dyDescent="0.3">
      <c r="Q271" s="11" t="s">
        <v>16</v>
      </c>
      <c r="R271" s="11" t="s">
        <v>17</v>
      </c>
    </row>
    <row r="272" spans="17:19" x14ac:dyDescent="0.3">
      <c r="Q272" s="11">
        <v>0</v>
      </c>
      <c r="R272" s="11">
        <v>25</v>
      </c>
      <c r="S272" s="11" t="b">
        <f>AND(Ballx&gt;=Q273,Ballx&lt;=Q274,Bally&gt;=R272,Bally&lt;=R273)</f>
        <v>0</v>
      </c>
    </row>
    <row r="273" spans="17:19" x14ac:dyDescent="0.3">
      <c r="Q273" s="11">
        <f>Q272</f>
        <v>0</v>
      </c>
      <c r="R273" s="11">
        <f>R272+$G$2</f>
        <v>30</v>
      </c>
    </row>
    <row r="274" spans="17:19" x14ac:dyDescent="0.3">
      <c r="Q274" s="11">
        <f>Q272+$F$2</f>
        <v>10</v>
      </c>
      <c r="R274" s="11">
        <f>R273</f>
        <v>30</v>
      </c>
    </row>
    <row r="275" spans="17:19" x14ac:dyDescent="0.3">
      <c r="Q275" s="11">
        <f>Q272+$F$2</f>
        <v>10</v>
      </c>
      <c r="R275" s="11">
        <f>R272</f>
        <v>25</v>
      </c>
    </row>
    <row r="276" spans="17:19" x14ac:dyDescent="0.3">
      <c r="Q276" s="11">
        <f>Q272</f>
        <v>0</v>
      </c>
      <c r="R276" s="11">
        <f>R272</f>
        <v>25</v>
      </c>
    </row>
    <row r="277" spans="17:19" x14ac:dyDescent="0.3">
      <c r="Q277" s="11" t="s">
        <v>16</v>
      </c>
      <c r="R277" s="11" t="s">
        <v>17</v>
      </c>
    </row>
    <row r="278" spans="17:19" x14ac:dyDescent="0.3">
      <c r="Q278" s="11">
        <v>10</v>
      </c>
      <c r="R278" s="11">
        <v>25</v>
      </c>
      <c r="S278" s="11" t="b">
        <f>AND(Ballx&gt;=Q279,Ballx&lt;=Q280,Bally&gt;=R278,Bally&lt;=R279)</f>
        <v>0</v>
      </c>
    </row>
    <row r="279" spans="17:19" x14ac:dyDescent="0.3">
      <c r="Q279" s="11">
        <f>Q278</f>
        <v>10</v>
      </c>
      <c r="R279" s="11">
        <f>R278+$G$2</f>
        <v>30</v>
      </c>
    </row>
    <row r="280" spans="17:19" x14ac:dyDescent="0.3">
      <c r="Q280" s="11">
        <f>Q278+$F$2</f>
        <v>20</v>
      </c>
      <c r="R280" s="11">
        <f>R279</f>
        <v>30</v>
      </c>
    </row>
    <row r="281" spans="17:19" x14ac:dyDescent="0.3">
      <c r="Q281" s="11">
        <f>Q278+$F$2</f>
        <v>20</v>
      </c>
      <c r="R281" s="11">
        <f>R278</f>
        <v>25</v>
      </c>
    </row>
    <row r="282" spans="17:19" x14ac:dyDescent="0.3">
      <c r="Q282" s="11">
        <f>Q278</f>
        <v>10</v>
      </c>
      <c r="R282" s="11">
        <f>R278</f>
        <v>25</v>
      </c>
    </row>
    <row r="283" spans="17:19" x14ac:dyDescent="0.3">
      <c r="Q283" s="11" t="s">
        <v>16</v>
      </c>
      <c r="R283" s="11" t="s">
        <v>17</v>
      </c>
    </row>
    <row r="284" spans="17:19" x14ac:dyDescent="0.3">
      <c r="Q284" s="11">
        <v>20</v>
      </c>
      <c r="R284" s="11">
        <v>25</v>
      </c>
      <c r="S284" s="11" t="b">
        <f>AND(Ballx&gt;=Q285,Ballx&lt;=Q286,Bally&gt;=R284,Bally&lt;=R285)</f>
        <v>0</v>
      </c>
    </row>
    <row r="285" spans="17:19" x14ac:dyDescent="0.3">
      <c r="Q285" s="11">
        <f>Q284</f>
        <v>20</v>
      </c>
      <c r="R285" s="11">
        <f>R284+$G$2</f>
        <v>30</v>
      </c>
    </row>
    <row r="286" spans="17:19" x14ac:dyDescent="0.3">
      <c r="Q286" s="11">
        <f>Q284+$F$2</f>
        <v>30</v>
      </c>
      <c r="R286" s="11">
        <f>R285</f>
        <v>30</v>
      </c>
    </row>
    <row r="287" spans="17:19" x14ac:dyDescent="0.3">
      <c r="Q287" s="11">
        <f>Q284+$F$2</f>
        <v>30</v>
      </c>
      <c r="R287" s="11">
        <f>R284</f>
        <v>25</v>
      </c>
    </row>
    <row r="288" spans="17:19" x14ac:dyDescent="0.3">
      <c r="Q288" s="11">
        <f>Q284</f>
        <v>20</v>
      </c>
      <c r="R288" s="11">
        <f>R284</f>
        <v>25</v>
      </c>
    </row>
    <row r="289" spans="17:19" x14ac:dyDescent="0.3">
      <c r="Q289" s="11" t="s">
        <v>16</v>
      </c>
      <c r="R289" s="11" t="s">
        <v>17</v>
      </c>
    </row>
    <row r="290" spans="17:19" x14ac:dyDescent="0.3">
      <c r="Q290" s="11">
        <v>30</v>
      </c>
      <c r="R290" s="11">
        <v>25</v>
      </c>
      <c r="S290" s="11" t="b">
        <f>AND(Ballx&gt;=Q291,Ballx&lt;=Q292,Bally&gt;=R290,Bally&lt;=R291)</f>
        <v>0</v>
      </c>
    </row>
    <row r="291" spans="17:19" x14ac:dyDescent="0.3">
      <c r="Q291" s="11">
        <f>Q290</f>
        <v>30</v>
      </c>
      <c r="R291" s="11">
        <f>R290+$G$2</f>
        <v>30</v>
      </c>
    </row>
    <row r="292" spans="17:19" x14ac:dyDescent="0.3">
      <c r="Q292" s="11">
        <f>Q290+$F$2</f>
        <v>40</v>
      </c>
      <c r="R292" s="11">
        <f>R291</f>
        <v>30</v>
      </c>
    </row>
    <row r="293" spans="17:19" x14ac:dyDescent="0.3">
      <c r="Q293" s="11">
        <f>Q290+$F$2</f>
        <v>40</v>
      </c>
      <c r="R293" s="11">
        <f>R290</f>
        <v>25</v>
      </c>
    </row>
    <row r="294" spans="17:19" x14ac:dyDescent="0.3">
      <c r="Q294" s="11">
        <f>Q290</f>
        <v>30</v>
      </c>
      <c r="R294" s="11">
        <f>R290</f>
        <v>25</v>
      </c>
    </row>
    <row r="295" spans="17:19" x14ac:dyDescent="0.3">
      <c r="Q295" s="11" t="s">
        <v>16</v>
      </c>
      <c r="R295" s="11" t="s">
        <v>17</v>
      </c>
    </row>
    <row r="296" spans="17:19" x14ac:dyDescent="0.3">
      <c r="Q296" s="11">
        <v>40</v>
      </c>
      <c r="R296" s="11">
        <v>25</v>
      </c>
      <c r="S296" s="11" t="b">
        <f>AND(Ballx&gt;=Q297,Ballx&lt;=Q298,Bally&gt;=R296,Bally&lt;=R297)</f>
        <v>0</v>
      </c>
    </row>
    <row r="297" spans="17:19" x14ac:dyDescent="0.3">
      <c r="Q297" s="11">
        <f>Q296</f>
        <v>40</v>
      </c>
      <c r="R297" s="11">
        <f>R296+$G$2</f>
        <v>30</v>
      </c>
    </row>
    <row r="298" spans="17:19" x14ac:dyDescent="0.3">
      <c r="Q298" s="11">
        <f>Q296+$F$2</f>
        <v>50</v>
      </c>
      <c r="R298" s="11">
        <f>R297</f>
        <v>30</v>
      </c>
    </row>
    <row r="299" spans="17:19" x14ac:dyDescent="0.3">
      <c r="Q299" s="11">
        <f>Q296+$F$2</f>
        <v>50</v>
      </c>
      <c r="R299" s="11">
        <f>R296</f>
        <v>25</v>
      </c>
    </row>
    <row r="300" spans="17:19" x14ac:dyDescent="0.3">
      <c r="Q300" s="11">
        <f>Q296</f>
        <v>40</v>
      </c>
      <c r="R300" s="11">
        <f>R296</f>
        <v>25</v>
      </c>
    </row>
    <row r="301" spans="17:19" x14ac:dyDescent="0.3">
      <c r="Q301" s="11" t="s">
        <v>16</v>
      </c>
      <c r="R301" s="11" t="s">
        <v>17</v>
      </c>
    </row>
    <row r="302" spans="17:19" x14ac:dyDescent="0.3">
      <c r="Q302" s="11">
        <v>-50</v>
      </c>
      <c r="R302" s="11">
        <v>20</v>
      </c>
      <c r="S302" s="11" t="b">
        <f>AND(Ballx&gt;=Q303,Ballx&lt;=Q304,Bally&gt;=R302,Bally&lt;=R303)</f>
        <v>0</v>
      </c>
    </row>
    <row r="303" spans="17:19" x14ac:dyDescent="0.3">
      <c r="Q303" s="11">
        <f>Q302</f>
        <v>-50</v>
      </c>
      <c r="R303" s="11">
        <f>R302+$G$2</f>
        <v>25</v>
      </c>
    </row>
    <row r="304" spans="17:19" x14ac:dyDescent="0.3">
      <c r="Q304" s="11">
        <f>Q302+$F$2</f>
        <v>-40</v>
      </c>
      <c r="R304" s="11">
        <f>R303</f>
        <v>25</v>
      </c>
    </row>
    <row r="305" spans="17:19" x14ac:dyDescent="0.3">
      <c r="Q305" s="11">
        <f>Q302+$F$2</f>
        <v>-40</v>
      </c>
      <c r="R305" s="11">
        <f>R302</f>
        <v>20</v>
      </c>
    </row>
    <row r="306" spans="17:19" x14ac:dyDescent="0.3">
      <c r="Q306" s="11">
        <f>Q302</f>
        <v>-50</v>
      </c>
      <c r="R306" s="11">
        <f>R302</f>
        <v>20</v>
      </c>
    </row>
    <row r="307" spans="17:19" x14ac:dyDescent="0.3">
      <c r="Q307" s="11" t="s">
        <v>16</v>
      </c>
      <c r="R307" s="11" t="s">
        <v>17</v>
      </c>
    </row>
    <row r="308" spans="17:19" x14ac:dyDescent="0.3">
      <c r="Q308" s="11">
        <v>-40</v>
      </c>
      <c r="R308" s="11">
        <v>20</v>
      </c>
      <c r="S308" s="11" t="b">
        <f>AND(Ballx&gt;=Q309,Ballx&lt;=Q310,Bally&gt;=R308,Bally&lt;=R309)</f>
        <v>0</v>
      </c>
    </row>
    <row r="309" spans="17:19" x14ac:dyDescent="0.3">
      <c r="Q309" s="11">
        <f>Q308</f>
        <v>-40</v>
      </c>
      <c r="R309" s="11">
        <f>R308+$G$2</f>
        <v>25</v>
      </c>
    </row>
    <row r="310" spans="17:19" x14ac:dyDescent="0.3">
      <c r="Q310" s="11">
        <f>Q308+$F$2</f>
        <v>-30</v>
      </c>
      <c r="R310" s="11">
        <f>R309</f>
        <v>25</v>
      </c>
    </row>
    <row r="311" spans="17:19" x14ac:dyDescent="0.3">
      <c r="Q311" s="11">
        <f>Q308+$F$2</f>
        <v>-30</v>
      </c>
      <c r="R311" s="11">
        <f>R308</f>
        <v>20</v>
      </c>
    </row>
    <row r="312" spans="17:19" x14ac:dyDescent="0.3">
      <c r="Q312" s="11">
        <f>Q308</f>
        <v>-40</v>
      </c>
      <c r="R312" s="11">
        <f>R308</f>
        <v>20</v>
      </c>
    </row>
    <row r="313" spans="17:19" x14ac:dyDescent="0.3">
      <c r="Q313" s="11" t="s">
        <v>16</v>
      </c>
      <c r="R313" s="11" t="s">
        <v>17</v>
      </c>
    </row>
    <row r="314" spans="17:19" x14ac:dyDescent="0.3">
      <c r="Q314" s="11">
        <v>-30</v>
      </c>
      <c r="R314" s="11">
        <v>20</v>
      </c>
      <c r="S314" s="11" t="b">
        <f>AND(Ballx&gt;=Q315,Ballx&lt;=Q316,Bally&gt;=R314,Bally&lt;=R315)</f>
        <v>0</v>
      </c>
    </row>
    <row r="315" spans="17:19" x14ac:dyDescent="0.3">
      <c r="Q315" s="11">
        <f>Q314</f>
        <v>-30</v>
      </c>
      <c r="R315" s="11">
        <f>R314+$G$2</f>
        <v>25</v>
      </c>
    </row>
    <row r="316" spans="17:19" x14ac:dyDescent="0.3">
      <c r="Q316" s="11">
        <f>Q314+$F$2</f>
        <v>-20</v>
      </c>
      <c r="R316" s="11">
        <f>R315</f>
        <v>25</v>
      </c>
    </row>
    <row r="317" spans="17:19" x14ac:dyDescent="0.3">
      <c r="Q317" s="11">
        <f>Q314+$F$2</f>
        <v>-20</v>
      </c>
      <c r="R317" s="11">
        <f>R314</f>
        <v>20</v>
      </c>
    </row>
    <row r="318" spans="17:19" x14ac:dyDescent="0.3">
      <c r="Q318" s="11">
        <f>Q314</f>
        <v>-30</v>
      </c>
      <c r="R318" s="11">
        <f>R314</f>
        <v>20</v>
      </c>
    </row>
    <row r="319" spans="17:19" x14ac:dyDescent="0.3">
      <c r="Q319" s="11" t="s">
        <v>16</v>
      </c>
      <c r="R319" s="11" t="s">
        <v>17</v>
      </c>
    </row>
    <row r="320" spans="17:19" x14ac:dyDescent="0.3">
      <c r="Q320" s="11">
        <v>-20</v>
      </c>
      <c r="R320" s="11">
        <v>20</v>
      </c>
      <c r="S320" s="11" t="b">
        <f>AND(Ballx&gt;=Q321,Ballx&lt;=Q322,Bally&gt;=R320,Bally&lt;=R321)</f>
        <v>0</v>
      </c>
    </row>
    <row r="321" spans="17:19" x14ac:dyDescent="0.3">
      <c r="Q321" s="11">
        <f>Q320</f>
        <v>-20</v>
      </c>
      <c r="R321" s="11">
        <f>R320+$G$2</f>
        <v>25</v>
      </c>
    </row>
    <row r="322" spans="17:19" x14ac:dyDescent="0.3">
      <c r="Q322" s="11">
        <f>Q320+$F$2</f>
        <v>-10</v>
      </c>
      <c r="R322" s="11">
        <f>R321</f>
        <v>25</v>
      </c>
    </row>
    <row r="323" spans="17:19" x14ac:dyDescent="0.3">
      <c r="Q323" s="11">
        <f>Q320+$F$2</f>
        <v>-10</v>
      </c>
      <c r="R323" s="11">
        <f>R320</f>
        <v>20</v>
      </c>
    </row>
    <row r="324" spans="17:19" x14ac:dyDescent="0.3">
      <c r="Q324" s="11">
        <f>Q320</f>
        <v>-20</v>
      </c>
      <c r="R324" s="11">
        <f>R320</f>
        <v>20</v>
      </c>
    </row>
    <row r="325" spans="17:19" x14ac:dyDescent="0.3">
      <c r="Q325" s="11" t="s">
        <v>16</v>
      </c>
      <c r="R325" s="11" t="s">
        <v>17</v>
      </c>
    </row>
    <row r="326" spans="17:19" x14ac:dyDescent="0.3">
      <c r="Q326" s="11">
        <v>-10</v>
      </c>
      <c r="R326" s="11">
        <v>20</v>
      </c>
      <c r="S326" s="11" t="b">
        <f>AND(Ballx&gt;=Q327,Ballx&lt;=Q328,Bally&gt;=R326,Bally&lt;=R327)</f>
        <v>0</v>
      </c>
    </row>
    <row r="327" spans="17:19" x14ac:dyDescent="0.3">
      <c r="Q327" s="11">
        <f>Q326</f>
        <v>-10</v>
      </c>
      <c r="R327" s="11">
        <f>R326+$G$2</f>
        <v>25</v>
      </c>
    </row>
    <row r="328" spans="17:19" x14ac:dyDescent="0.3">
      <c r="Q328" s="11">
        <f>Q326+$F$2</f>
        <v>0</v>
      </c>
      <c r="R328" s="11">
        <f>R327</f>
        <v>25</v>
      </c>
    </row>
    <row r="329" spans="17:19" x14ac:dyDescent="0.3">
      <c r="Q329" s="11">
        <f>Q326+$F$2</f>
        <v>0</v>
      </c>
      <c r="R329" s="11">
        <f>R326</f>
        <v>20</v>
      </c>
    </row>
    <row r="330" spans="17:19" x14ac:dyDescent="0.3">
      <c r="Q330" s="11">
        <f>Q326</f>
        <v>-10</v>
      </c>
      <c r="R330" s="11">
        <f>R326</f>
        <v>20</v>
      </c>
    </row>
    <row r="331" spans="17:19" x14ac:dyDescent="0.3">
      <c r="Q331" s="11" t="s">
        <v>16</v>
      </c>
      <c r="R331" s="11" t="s">
        <v>17</v>
      </c>
    </row>
    <row r="332" spans="17:19" x14ac:dyDescent="0.3">
      <c r="Q332" s="11">
        <v>0</v>
      </c>
      <c r="R332" s="11">
        <v>20</v>
      </c>
      <c r="S332" s="11" t="b">
        <f>AND(Ballx&gt;=Q333,Ballx&lt;=Q334,Bally&gt;=R332,Bally&lt;=R333)</f>
        <v>0</v>
      </c>
    </row>
    <row r="333" spans="17:19" x14ac:dyDescent="0.3">
      <c r="Q333" s="11">
        <f>Q332</f>
        <v>0</v>
      </c>
      <c r="R333" s="11">
        <f>R332+$G$2</f>
        <v>25</v>
      </c>
    </row>
    <row r="334" spans="17:19" x14ac:dyDescent="0.3">
      <c r="Q334" s="11">
        <f>Q332+$F$2</f>
        <v>10</v>
      </c>
      <c r="R334" s="11">
        <f>R333</f>
        <v>25</v>
      </c>
    </row>
    <row r="335" spans="17:19" x14ac:dyDescent="0.3">
      <c r="Q335" s="11">
        <f>Q332+$F$2</f>
        <v>10</v>
      </c>
      <c r="R335" s="11">
        <f>R332</f>
        <v>20</v>
      </c>
    </row>
    <row r="336" spans="17:19" x14ac:dyDescent="0.3">
      <c r="Q336" s="11">
        <f>Q332</f>
        <v>0</v>
      </c>
      <c r="R336" s="11">
        <f>R332</f>
        <v>20</v>
      </c>
    </row>
    <row r="337" spans="17:19" x14ac:dyDescent="0.3">
      <c r="Q337" s="11" t="s">
        <v>16</v>
      </c>
      <c r="R337" s="11" t="s">
        <v>17</v>
      </c>
    </row>
    <row r="338" spans="17:19" x14ac:dyDescent="0.3">
      <c r="Q338" s="11">
        <v>10</v>
      </c>
      <c r="R338" s="11">
        <v>20</v>
      </c>
      <c r="S338" s="11" t="b">
        <f>AND(Ballx&gt;=Q339,Ballx&lt;=Q340,Bally&gt;=R338,Bally&lt;=R339)</f>
        <v>0</v>
      </c>
    </row>
    <row r="339" spans="17:19" x14ac:dyDescent="0.3">
      <c r="Q339" s="11">
        <f>Q338</f>
        <v>10</v>
      </c>
      <c r="R339" s="11">
        <f>R338+$G$2</f>
        <v>25</v>
      </c>
    </row>
    <row r="340" spans="17:19" x14ac:dyDescent="0.3">
      <c r="Q340" s="11">
        <f>Q338+$F$2</f>
        <v>20</v>
      </c>
      <c r="R340" s="11">
        <f>R339</f>
        <v>25</v>
      </c>
    </row>
    <row r="341" spans="17:19" x14ac:dyDescent="0.3">
      <c r="Q341" s="11">
        <f>Q338+$F$2</f>
        <v>20</v>
      </c>
      <c r="R341" s="11">
        <f>R338</f>
        <v>20</v>
      </c>
    </row>
    <row r="342" spans="17:19" x14ac:dyDescent="0.3">
      <c r="Q342" s="11">
        <f>Q338</f>
        <v>10</v>
      </c>
      <c r="R342" s="11">
        <f>R338</f>
        <v>20</v>
      </c>
    </row>
    <row r="343" spans="17:19" x14ac:dyDescent="0.3">
      <c r="Q343" s="11" t="s">
        <v>16</v>
      </c>
      <c r="R343" s="11" t="s">
        <v>17</v>
      </c>
    </row>
    <row r="344" spans="17:19" x14ac:dyDescent="0.3">
      <c r="Q344" s="11">
        <v>20</v>
      </c>
      <c r="R344" s="11">
        <v>20</v>
      </c>
      <c r="S344" s="11" t="b">
        <f>AND(Ballx&gt;=Q345,Ballx&lt;=Q346,Bally&gt;=R344,Bally&lt;=R345)</f>
        <v>0</v>
      </c>
    </row>
    <row r="345" spans="17:19" x14ac:dyDescent="0.3">
      <c r="Q345" s="11">
        <f>Q344</f>
        <v>20</v>
      </c>
      <c r="R345" s="11">
        <f>R344+$G$2</f>
        <v>25</v>
      </c>
    </row>
    <row r="346" spans="17:19" x14ac:dyDescent="0.3">
      <c r="Q346" s="11">
        <f>Q344+$F$2</f>
        <v>30</v>
      </c>
      <c r="R346" s="11">
        <f>R345</f>
        <v>25</v>
      </c>
    </row>
    <row r="347" spans="17:19" x14ac:dyDescent="0.3">
      <c r="Q347" s="11">
        <f>Q344+$F$2</f>
        <v>30</v>
      </c>
      <c r="R347" s="11">
        <f>R344</f>
        <v>20</v>
      </c>
    </row>
    <row r="348" spans="17:19" x14ac:dyDescent="0.3">
      <c r="Q348" s="11">
        <f>Q344</f>
        <v>20</v>
      </c>
      <c r="R348" s="11">
        <f>R344</f>
        <v>20</v>
      </c>
    </row>
    <row r="349" spans="17:19" x14ac:dyDescent="0.3">
      <c r="Q349" s="11" t="s">
        <v>16</v>
      </c>
      <c r="R349" s="11" t="s">
        <v>17</v>
      </c>
    </row>
    <row r="350" spans="17:19" x14ac:dyDescent="0.3">
      <c r="Q350" s="11">
        <v>30</v>
      </c>
      <c r="R350" s="11">
        <v>20</v>
      </c>
      <c r="S350" s="11" t="b">
        <f>AND(Ballx&gt;=Q351,Ballx&lt;=Q352,Bally&gt;=R350,Bally&lt;=R351)</f>
        <v>0</v>
      </c>
    </row>
    <row r="351" spans="17:19" x14ac:dyDescent="0.3">
      <c r="Q351" s="11">
        <f>Q350</f>
        <v>30</v>
      </c>
      <c r="R351" s="11">
        <f>R350+$G$2</f>
        <v>25</v>
      </c>
    </row>
    <row r="352" spans="17:19" x14ac:dyDescent="0.3">
      <c r="Q352" s="11">
        <f>Q350+$F$2</f>
        <v>40</v>
      </c>
      <c r="R352" s="11">
        <f>R351</f>
        <v>25</v>
      </c>
    </row>
    <row r="353" spans="17:19" x14ac:dyDescent="0.3">
      <c r="Q353" s="11">
        <f>Q350+$F$2</f>
        <v>40</v>
      </c>
      <c r="R353" s="11">
        <f>R350</f>
        <v>20</v>
      </c>
    </row>
    <row r="354" spans="17:19" x14ac:dyDescent="0.3">
      <c r="Q354" s="11">
        <f>Q350</f>
        <v>30</v>
      </c>
      <c r="R354" s="11">
        <f>R350</f>
        <v>20</v>
      </c>
    </row>
    <row r="355" spans="17:19" x14ac:dyDescent="0.3">
      <c r="Q355" s="11" t="s">
        <v>16</v>
      </c>
      <c r="R355" s="11" t="s">
        <v>17</v>
      </c>
    </row>
    <row r="356" spans="17:19" x14ac:dyDescent="0.3">
      <c r="Q356" s="11">
        <v>40</v>
      </c>
      <c r="R356" s="11">
        <v>20</v>
      </c>
      <c r="S356" s="11" t="b">
        <f>AND(Ballx&gt;=Q357,Ballx&lt;=Q358,Bally&gt;=R356,Bally&lt;=R357)</f>
        <v>0</v>
      </c>
    </row>
    <row r="357" spans="17:19" x14ac:dyDescent="0.3">
      <c r="Q357" s="11">
        <f>Q356</f>
        <v>40</v>
      </c>
      <c r="R357" s="11">
        <f>R356+$G$2</f>
        <v>25</v>
      </c>
    </row>
    <row r="358" spans="17:19" x14ac:dyDescent="0.3">
      <c r="Q358" s="11">
        <f>Q356+$F$2</f>
        <v>50</v>
      </c>
      <c r="R358" s="11">
        <f>R357</f>
        <v>25</v>
      </c>
    </row>
    <row r="359" spans="17:19" x14ac:dyDescent="0.3">
      <c r="Q359" s="11">
        <f>Q356+$F$2</f>
        <v>50</v>
      </c>
      <c r="R359" s="11">
        <f>R356</f>
        <v>20</v>
      </c>
    </row>
    <row r="360" spans="17:19" x14ac:dyDescent="0.3">
      <c r="Q360" s="11">
        <f>Q356</f>
        <v>40</v>
      </c>
      <c r="R360" s="11">
        <f>R356</f>
        <v>20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1">
          <controlPr defaultSize="0" autoLine="0" r:id="rId4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3" name="CommandButton1"/>
      </mc:Fallback>
    </mc:AlternateContent>
    <mc:AlternateContent xmlns:mc="http://schemas.openxmlformats.org/markup-compatibility/2006">
      <mc:Choice Requires="x14">
        <control shapeId="4100" r:id="rId5" name="CommandButton2">
          <controlPr defaultSize="0" autoLine="0" r:id="rId6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BA8FA-0E1E-4CB5-86B9-93F96155713C}">
  <sheetPr codeName="Sheet3"/>
  <dimension ref="A1:U31"/>
  <sheetViews>
    <sheetView zoomScale="70" zoomScaleNormal="70" workbookViewId="0">
      <selection activeCell="V26" sqref="V26"/>
    </sheetView>
  </sheetViews>
  <sheetFormatPr defaultRowHeight="16.5" x14ac:dyDescent="0.3"/>
  <cols>
    <col min="1" max="14" width="3.25" style="8" customWidth="1"/>
    <col min="15" max="15" width="5.125" style="8" customWidth="1"/>
    <col min="16" max="16" width="6.125" style="8" bestFit="1" customWidth="1"/>
    <col min="17" max="18" width="5.25" style="8" bestFit="1" customWidth="1"/>
    <col min="19" max="19" width="9" style="8"/>
    <col min="20" max="20" width="2.625" style="8" bestFit="1" customWidth="1"/>
    <col min="21" max="21" width="4.625" style="8" customWidth="1"/>
    <col min="22" max="16384" width="9" style="8"/>
  </cols>
  <sheetData>
    <row r="1" spans="1:21" x14ac:dyDescent="0.3">
      <c r="A1" s="6"/>
      <c r="B1" s="9"/>
      <c r="C1" s="9"/>
      <c r="D1" s="7"/>
      <c r="F1" s="6"/>
      <c r="G1" s="9"/>
      <c r="H1" s="9"/>
      <c r="I1" s="7"/>
      <c r="K1" s="6"/>
      <c r="L1" s="9"/>
      <c r="M1" s="9"/>
      <c r="N1" s="7"/>
      <c r="P1" s="10"/>
      <c r="Q1" s="10" t="s">
        <v>0</v>
      </c>
      <c r="R1" s="10" t="s">
        <v>1</v>
      </c>
      <c r="U1" s="8" t="s">
        <v>2</v>
      </c>
    </row>
    <row r="2" spans="1:21" x14ac:dyDescent="0.3">
      <c r="A2" s="1"/>
      <c r="D2" s="2"/>
      <c r="F2" s="1"/>
      <c r="I2" s="2"/>
      <c r="K2" s="1"/>
      <c r="N2" s="2"/>
      <c r="P2" s="10" t="s">
        <v>3</v>
      </c>
      <c r="Q2" s="10">
        <v>0</v>
      </c>
      <c r="R2" s="10">
        <v>0</v>
      </c>
      <c r="T2" s="8" t="s">
        <v>4</v>
      </c>
      <c r="U2" s="8">
        <v>0</v>
      </c>
    </row>
    <row r="3" spans="1:21" x14ac:dyDescent="0.3">
      <c r="A3" s="1"/>
      <c r="D3" s="2"/>
      <c r="F3" s="1"/>
      <c r="I3" s="2"/>
      <c r="K3" s="1"/>
      <c r="N3" s="2"/>
      <c r="P3" s="10" t="s">
        <v>6</v>
      </c>
      <c r="Q3" s="10">
        <v>-3</v>
      </c>
      <c r="R3" s="10">
        <v>5</v>
      </c>
      <c r="T3" s="8" t="s">
        <v>5</v>
      </c>
      <c r="U3" s="8">
        <v>0</v>
      </c>
    </row>
    <row r="4" spans="1:21" ht="17.25" customHeight="1" x14ac:dyDescent="0.3">
      <c r="A4" s="1"/>
      <c r="D4" s="2"/>
      <c r="F4" s="1"/>
      <c r="I4" s="2"/>
      <c r="K4" s="1"/>
      <c r="N4" s="2"/>
    </row>
    <row r="5" spans="1:21" x14ac:dyDescent="0.3">
      <c r="A5" s="1"/>
      <c r="D5" s="2"/>
      <c r="F5" s="1"/>
      <c r="I5" s="2"/>
      <c r="K5" s="1"/>
      <c r="N5" s="2"/>
    </row>
    <row r="6" spans="1:21" x14ac:dyDescent="0.3">
      <c r="A6" s="1"/>
      <c r="D6" s="2"/>
      <c r="F6" s="1"/>
      <c r="I6" s="2"/>
      <c r="K6" s="1"/>
      <c r="N6" s="2"/>
    </row>
    <row r="7" spans="1:21" x14ac:dyDescent="0.3">
      <c r="A7" s="3"/>
      <c r="B7" s="5"/>
      <c r="C7" s="5"/>
      <c r="D7" s="4"/>
      <c r="F7" s="3"/>
      <c r="G7" s="5"/>
      <c r="H7" s="5"/>
      <c r="I7" s="4"/>
      <c r="K7" s="3"/>
      <c r="L7" s="5"/>
      <c r="M7" s="5"/>
      <c r="N7" s="4"/>
    </row>
    <row r="9" spans="1:21" x14ac:dyDescent="0.3">
      <c r="A9" s="6"/>
      <c r="B9" s="9"/>
      <c r="C9" s="9"/>
      <c r="D9" s="7"/>
      <c r="F9" s="6"/>
      <c r="G9" s="9"/>
      <c r="H9" s="9"/>
      <c r="I9" s="7"/>
      <c r="K9" s="6"/>
      <c r="L9" s="9"/>
      <c r="M9" s="9"/>
      <c r="N9" s="7"/>
    </row>
    <row r="10" spans="1:21" x14ac:dyDescent="0.3">
      <c r="A10" s="1"/>
      <c r="D10" s="2"/>
      <c r="F10" s="1"/>
      <c r="I10" s="2"/>
      <c r="K10" s="1"/>
      <c r="N10" s="2"/>
    </row>
    <row r="11" spans="1:21" x14ac:dyDescent="0.3">
      <c r="A11" s="1"/>
      <c r="D11" s="2"/>
      <c r="F11" s="1"/>
      <c r="I11" s="2"/>
      <c r="K11" s="1"/>
      <c r="N11" s="2"/>
    </row>
    <row r="12" spans="1:21" x14ac:dyDescent="0.3">
      <c r="A12" s="1"/>
      <c r="D12" s="2"/>
      <c r="F12" s="1"/>
      <c r="I12" s="2"/>
      <c r="K12" s="1"/>
      <c r="N12" s="2"/>
    </row>
    <row r="13" spans="1:21" x14ac:dyDescent="0.3">
      <c r="A13" s="1"/>
      <c r="D13" s="2"/>
      <c r="F13" s="1"/>
      <c r="I13" s="2"/>
      <c r="K13" s="1"/>
      <c r="N13" s="2"/>
    </row>
    <row r="14" spans="1:21" x14ac:dyDescent="0.3">
      <c r="A14" s="1"/>
      <c r="D14" s="2"/>
      <c r="F14" s="1"/>
      <c r="I14" s="2"/>
      <c r="K14" s="1"/>
      <c r="N14" s="2"/>
    </row>
    <row r="15" spans="1:21" x14ac:dyDescent="0.3">
      <c r="A15" s="3"/>
      <c r="B15" s="5"/>
      <c r="C15" s="5"/>
      <c r="D15" s="4"/>
      <c r="F15" s="3"/>
      <c r="G15" s="5"/>
      <c r="H15" s="5"/>
      <c r="I15" s="4"/>
      <c r="K15" s="3"/>
      <c r="L15" s="5"/>
      <c r="M15" s="5"/>
      <c r="N15" s="4"/>
    </row>
    <row r="17" spans="1:14" x14ac:dyDescent="0.3">
      <c r="A17" s="6"/>
      <c r="B17" s="9"/>
      <c r="C17" s="9"/>
      <c r="D17" s="7"/>
      <c r="F17" s="6"/>
      <c r="G17" s="9"/>
      <c r="H17" s="9"/>
      <c r="I17" s="7"/>
      <c r="K17" s="6"/>
      <c r="L17" s="9"/>
      <c r="M17" s="9"/>
      <c r="N17" s="7"/>
    </row>
    <row r="18" spans="1:14" x14ac:dyDescent="0.3">
      <c r="A18" s="1"/>
      <c r="D18" s="2"/>
      <c r="F18" s="1"/>
      <c r="I18" s="2"/>
      <c r="K18" s="1"/>
      <c r="N18" s="2"/>
    </row>
    <row r="19" spans="1:14" x14ac:dyDescent="0.3">
      <c r="A19" s="1"/>
      <c r="D19" s="2"/>
      <c r="F19" s="1"/>
      <c r="I19" s="2"/>
      <c r="K19" s="1"/>
      <c r="N19" s="2"/>
    </row>
    <row r="20" spans="1:14" x14ac:dyDescent="0.3">
      <c r="A20" s="1"/>
      <c r="D20" s="2"/>
      <c r="F20" s="1"/>
      <c r="I20" s="2"/>
      <c r="K20" s="1"/>
      <c r="N20" s="2"/>
    </row>
    <row r="21" spans="1:14" x14ac:dyDescent="0.3">
      <c r="A21" s="1"/>
      <c r="D21" s="2"/>
      <c r="F21" s="1"/>
      <c r="I21" s="2"/>
      <c r="K21" s="1"/>
      <c r="N21" s="2"/>
    </row>
    <row r="22" spans="1:14" x14ac:dyDescent="0.3">
      <c r="A22" s="1"/>
      <c r="D22" s="2"/>
      <c r="F22" s="1"/>
      <c r="I22" s="2"/>
      <c r="K22" s="1"/>
      <c r="N22" s="2"/>
    </row>
    <row r="23" spans="1:14" x14ac:dyDescent="0.3">
      <c r="A23" s="3"/>
      <c r="B23" s="5"/>
      <c r="C23" s="5"/>
      <c r="D23" s="4"/>
      <c r="F23" s="3"/>
      <c r="G23" s="5"/>
      <c r="H23" s="5"/>
      <c r="I23" s="4"/>
      <c r="K23" s="3"/>
      <c r="L23" s="5"/>
      <c r="M23" s="5"/>
      <c r="N23" s="4"/>
    </row>
    <row r="25" spans="1:14" x14ac:dyDescent="0.3">
      <c r="A25" s="6"/>
      <c r="B25" s="9"/>
      <c r="C25" s="9"/>
      <c r="D25" s="7"/>
    </row>
    <row r="26" spans="1:14" x14ac:dyDescent="0.3">
      <c r="A26" s="1"/>
      <c r="D26" s="2"/>
    </row>
    <row r="27" spans="1:14" x14ac:dyDescent="0.3">
      <c r="A27" s="1"/>
      <c r="D27" s="2"/>
    </row>
    <row r="28" spans="1:14" x14ac:dyDescent="0.3">
      <c r="A28" s="1"/>
      <c r="D28" s="2"/>
    </row>
    <row r="29" spans="1:14" x14ac:dyDescent="0.3">
      <c r="A29" s="1"/>
      <c r="D29" s="2"/>
    </row>
    <row r="30" spans="1:14" x14ac:dyDescent="0.3">
      <c r="A30" s="1"/>
      <c r="D30" s="2"/>
    </row>
    <row r="31" spans="1:14" x14ac:dyDescent="0.3">
      <c r="A31" s="3"/>
      <c r="B31" s="5"/>
      <c r="C31" s="5"/>
      <c r="D3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9</vt:i4>
      </vt:variant>
    </vt:vector>
  </HeadingPairs>
  <TitlesOfParts>
    <vt:vector size="11" baseType="lpstr">
      <vt:lpstr>Game</vt:lpstr>
      <vt:lpstr>data</vt:lpstr>
      <vt:lpstr>ballAngle</vt:lpstr>
      <vt:lpstr>BallDirX</vt:lpstr>
      <vt:lpstr>BallDirY</vt:lpstr>
      <vt:lpstr>Ballx</vt:lpstr>
      <vt:lpstr>Bally</vt:lpstr>
      <vt:lpstr>player1Score</vt:lpstr>
      <vt:lpstr>Player1X</vt:lpstr>
      <vt:lpstr>Player1Y</vt:lpstr>
      <vt:lpstr>player2Score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2022-12-04T23:56:25Z</dcterms:created>
  <dcterms:modified xsi:type="dcterms:W3CDTF">2022-12-08T04:55:51Z</dcterms:modified>
</cp:coreProperties>
</file>